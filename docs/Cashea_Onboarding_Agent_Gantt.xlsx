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&quot;$&quot;#,##0.00"/>
    <numFmt numFmtId="166" formatCode="yyyy-mm-dd"/>
  </numFmts>
  <fonts count="30">
    <font>
      <name val="Arial"/>
      <color rgb="FF000000"/>
      <sz val="10"/>
    </font>
    <font>
      <name val="Poppins"/>
      <sz val="11"/>
    </font>
    <font>
      <name val="Poppins"/>
      <b val="1"/>
      <color rgb="FF0B5394"/>
      <sz val="30"/>
    </font>
    <font>
      <name val="Poppins"/>
      <b val="1"/>
      <color rgb="FF0B5394"/>
      <sz val="11"/>
    </font>
    <font>
      <name val="Poppins"/>
    </font>
    <font>
      <name val="Poppins"/>
      <color rgb="FF000000"/>
      <sz val="11"/>
    </font>
    <font>
      <name val="Poppins"/>
      <color rgb="FFFFFFFF"/>
      <sz val="11"/>
    </font>
    <font>
      <name val="Roboto"/>
      <b val="1"/>
      <color rgb="FF0B5394"/>
      <sz val="30"/>
    </font>
    <font/>
    <font>
      <name val="Roboto"/>
      <b val="1"/>
      <color rgb="FF0B5394"/>
      <sz val="32"/>
    </font>
    <font>
      <name val="Roboto"/>
      <b val="1"/>
      <color rgb="FF0B5394"/>
      <sz val="12"/>
    </font>
    <font>
      <name val="Roboto"/>
      <color rgb="FF0B5394"/>
      <sz val="12"/>
    </font>
    <font>
      <name val="Poppins"/>
      <color rgb="FF000000"/>
      <sz val="12"/>
    </font>
    <font>
      <name val="Poppins"/>
      <b val="1"/>
      <color rgb="FF434343"/>
      <sz val="11"/>
    </font>
    <font>
      <name val="Poppins"/>
      <color rgb="FF434343"/>
      <sz val="11"/>
    </font>
    <font>
      <name val="Century Gothic"/>
      <color rgb="FF000000"/>
      <sz val="11"/>
    </font>
    <font>
      <name val="Century Gothic"/>
      <sz val="11"/>
    </font>
    <font>
      <name val="Roboto"/>
      <b val="1"/>
      <color rgb="FF666666"/>
      <sz val="10"/>
    </font>
    <font>
      <name val="Roboto"/>
      <color rgb="FF999999"/>
      <sz val="10"/>
    </font>
    <font>
      <name val="Roboto"/>
      <sz val="11"/>
    </font>
    <font>
      <name val="Roboto"/>
      <color rgb="FF000000"/>
      <sz val="11"/>
    </font>
    <font>
      <name val="Roboto"/>
      <b val="1"/>
      <color rgb="FF000000"/>
      <sz val="8"/>
    </font>
    <font>
      <name val="Roboto"/>
      <b val="1"/>
      <color rgb="FFFFFFFF"/>
      <sz val="9"/>
    </font>
    <font>
      <name val="Roboto"/>
      <b val="1"/>
      <sz val="8"/>
    </font>
    <font>
      <name val="Roboto"/>
      <sz val="9"/>
    </font>
    <font>
      <name val="Roboto"/>
      <b val="1"/>
      <color rgb="FF000000"/>
      <sz val="9"/>
    </font>
    <font>
      <name val="Roboto"/>
      <b val="1"/>
      <color rgb="FF000000"/>
      <sz val="11"/>
    </font>
    <font>
      <name val="Roboto"/>
      <sz val="10"/>
    </font>
    <font>
      <name val="Roboto"/>
      <color rgb="FF434343"/>
      <sz val="10"/>
    </font>
    <font>
      <name val="Roboto"/>
      <b val="1"/>
      <color rgb="FF000000"/>
      <sz val="10"/>
    </font>
  </fonts>
  <fills count="2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CCCCCC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FFC000"/>
      </patternFill>
    </fill>
  </fills>
  <borders count="24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CCCCCC"/>
      </right>
    </border>
  </borders>
  <cellStyleXfs count="1">
    <xf numFmtId="0" fontId="0" fillId="0" borderId="0"/>
  </cellStyleXfs>
  <cellXfs count="14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0" borderId="1" pivotButton="0" quotePrefix="0" xfId="0"/>
    <xf numFmtId="0" fontId="9" fillId="2" borderId="1" applyAlignment="1" pivotButton="0" quotePrefix="0" xfId="0">
      <alignment vertical="center"/>
    </xf>
    <xf numFmtId="0" fontId="10" fillId="2" borderId="1" applyAlignment="1" pivotButton="0" quotePrefix="0" xfId="0">
      <alignment vertical="center"/>
    </xf>
    <xf numFmtId="0" fontId="11" fillId="2" borderId="1" applyAlignment="1" pivotButton="0" quotePrefix="0" xfId="0">
      <alignment vertical="center" wrapText="1"/>
    </xf>
    <xf numFmtId="0" fontId="12" fillId="2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vertical="center"/>
    </xf>
    <xf numFmtId="0" fontId="15" fillId="2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2" applyAlignment="1" pivotButton="0" quotePrefix="0" xfId="0">
      <alignment horizontal="left" vertical="center"/>
    </xf>
    <xf numFmtId="0" fontId="8" fillId="0" borderId="2" pivotButton="0" quotePrefix="0" xfId="0"/>
    <xf numFmtId="0" fontId="18" fillId="2" borderId="2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8" fillId="0" borderId="2" applyAlignment="1" pivotButton="0" quotePrefix="0" xfId="0">
      <alignment horizontal="left" vertical="center"/>
    </xf>
    <xf numFmtId="0" fontId="4" fillId="0" borderId="0" pivotButton="0" quotePrefix="0" xfId="0"/>
    <xf numFmtId="0" fontId="18" fillId="0" borderId="2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4" fontId="18" fillId="0" borderId="2" applyAlignment="1" pivotButton="0" quotePrefix="0" xfId="0">
      <alignment horizontal="left" vertical="center"/>
    </xf>
    <xf numFmtId="0" fontId="18" fillId="0" borderId="2" pivotButton="0" quotePrefix="0" xfId="0"/>
    <xf numFmtId="0" fontId="1" fillId="0" borderId="0" pivotButton="0" quotePrefix="0" xfId="0"/>
    <xf numFmtId="0" fontId="19" fillId="0" borderId="0" applyAlignment="1" pivotButton="0" quotePrefix="0" xfId="0">
      <alignment vertical="center"/>
    </xf>
    <xf numFmtId="0" fontId="20" fillId="2" borderId="0" applyAlignment="1" pivotButton="0" quotePrefix="0" xfId="0">
      <alignment vertical="center"/>
    </xf>
    <xf numFmtId="0" fontId="20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3" borderId="0" applyAlignment="1" pivotButton="0" quotePrefix="0" xfId="0">
      <alignment horizontal="center" vertical="center" wrapText="1"/>
    </xf>
    <xf numFmtId="0" fontId="22" fillId="4" borderId="3" applyAlignment="1" pivotButton="0" quotePrefix="0" xfId="0">
      <alignment horizontal="center" vertical="center"/>
    </xf>
    <xf numFmtId="0" fontId="22" fillId="5" borderId="3" applyAlignment="1" pivotButton="0" quotePrefix="0" xfId="0">
      <alignment horizontal="center" vertical="center"/>
    </xf>
    <xf numFmtId="0" fontId="22" fillId="6" borderId="3" applyAlignment="1" pivotButton="0" quotePrefix="0" xfId="0">
      <alignment horizontal="center" vertical="center"/>
    </xf>
    <xf numFmtId="0" fontId="22" fillId="7" borderId="3" applyAlignment="1" pivotButton="0" quotePrefix="0" xfId="0">
      <alignment horizontal="center" vertical="center"/>
    </xf>
    <xf numFmtId="0" fontId="8" fillId="0" borderId="4" pivotButton="0" quotePrefix="0" xfId="0"/>
    <xf numFmtId="0" fontId="23" fillId="0" borderId="0" applyAlignment="1" pivotButton="0" quotePrefix="0" xfId="0">
      <alignment vertical="center"/>
    </xf>
    <xf numFmtId="0" fontId="22" fillId="8" borderId="5" applyAlignment="1" pivotButton="0" quotePrefix="0" xfId="0">
      <alignment horizontal="center" vertical="center"/>
    </xf>
    <xf numFmtId="0" fontId="8" fillId="0" borderId="6" pivotButton="0" quotePrefix="0" xfId="0"/>
    <xf numFmtId="0" fontId="8" fillId="0" borderId="7" pivotButton="0" quotePrefix="0" xfId="0"/>
    <xf numFmtId="0" fontId="22" fillId="9" borderId="5" applyAlignment="1" pivotButton="0" quotePrefix="0" xfId="0">
      <alignment horizontal="center" vertical="center"/>
    </xf>
    <xf numFmtId="0" fontId="22" fillId="10" borderId="5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5" fillId="12" borderId="8" applyAlignment="1" pivotButton="0" quotePrefix="0" xfId="0">
      <alignment horizontal="center" vertical="center"/>
    </xf>
    <xf numFmtId="0" fontId="25" fillId="13" borderId="8" applyAlignment="1" pivotButton="0" quotePrefix="0" xfId="0">
      <alignment horizontal="center" vertical="center"/>
    </xf>
    <xf numFmtId="0" fontId="25" fillId="14" borderId="8" applyAlignment="1" pivotButton="0" quotePrefix="0" xfId="0">
      <alignment horizontal="center" vertical="center"/>
    </xf>
    <xf numFmtId="0" fontId="25" fillId="15" borderId="8" applyAlignment="1" pivotButton="0" quotePrefix="0" xfId="0">
      <alignment horizontal="center" vertical="center"/>
    </xf>
    <xf numFmtId="0" fontId="26" fillId="16" borderId="9" applyAlignment="1" pivotButton="0" quotePrefix="0" xfId="0">
      <alignment horizontal="left" vertical="center" wrapText="1"/>
    </xf>
    <xf numFmtId="0" fontId="26" fillId="16" borderId="9" applyAlignment="1" pivotButton="0" quotePrefix="0" xfId="0">
      <alignment vertical="center"/>
    </xf>
    <xf numFmtId="0" fontId="26" fillId="16" borderId="9" applyAlignment="1" pivotButton="0" quotePrefix="0" xfId="0">
      <alignment vertical="center" wrapText="1"/>
    </xf>
    <xf numFmtId="0" fontId="26" fillId="16" borderId="0" applyAlignment="1" pivotButton="0" quotePrefix="0" xfId="0">
      <alignment horizontal="center" vertical="center"/>
    </xf>
    <xf numFmtId="165" fontId="26" fillId="16" borderId="0" applyAlignment="1" pivotButton="0" quotePrefix="0" xfId="0">
      <alignment horizontal="center" vertical="center"/>
    </xf>
    <xf numFmtId="3" fontId="26" fillId="16" borderId="0" applyAlignment="1" pivotButton="0" quotePrefix="0" xfId="0">
      <alignment horizontal="center" vertical="center"/>
    </xf>
    <xf numFmtId="0" fontId="26" fillId="16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28" fillId="0" borderId="10" applyAlignment="1" pivotButton="0" quotePrefix="0" xfId="0">
      <alignment horizontal="left" vertical="center" wrapText="1"/>
    </xf>
    <xf numFmtId="0" fontId="28" fillId="0" borderId="10" applyAlignment="1" pivotButton="0" quotePrefix="0" xfId="0">
      <alignment vertical="center" wrapText="1"/>
    </xf>
    <xf numFmtId="164" fontId="28" fillId="0" borderId="10" applyAlignment="1" pivotButton="0" quotePrefix="0" xfId="0">
      <alignment horizontal="left" vertical="center" wrapText="1"/>
    </xf>
    <xf numFmtId="0" fontId="28" fillId="0" borderId="10" applyAlignment="1" pivotButton="0" quotePrefix="0" xfId="0">
      <alignment horizontal="center" vertical="center" wrapText="1"/>
    </xf>
    <xf numFmtId="9" fontId="28" fillId="0" borderId="10" applyAlignment="1" pivotButton="0" quotePrefix="0" xfId="0">
      <alignment horizontal="center" vertical="center" wrapText="1"/>
    </xf>
    <xf numFmtId="9" fontId="29" fillId="0" borderId="11" applyAlignment="1" pivotButton="0" quotePrefix="0" xfId="0">
      <alignment horizontal="center" vertical="center"/>
    </xf>
    <xf numFmtId="165" fontId="29" fillId="0" borderId="12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29" fillId="17" borderId="12" applyAlignment="1" pivotButton="0" quotePrefix="0" xfId="0">
      <alignment horizontal="center" vertical="center"/>
    </xf>
    <xf numFmtId="0" fontId="29" fillId="17" borderId="12" applyAlignment="1" pivotButton="0" quotePrefix="0" xfId="0">
      <alignment horizontal="center" vertical="center"/>
    </xf>
    <xf numFmtId="0" fontId="29" fillId="18" borderId="12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29" fillId="19" borderId="12" applyAlignment="1" pivotButton="0" quotePrefix="0" xfId="0">
      <alignment horizontal="center" vertical="center"/>
    </xf>
    <xf numFmtId="0" fontId="29" fillId="20" borderId="12" applyAlignment="1" pivotButton="0" quotePrefix="0" xfId="0">
      <alignment horizontal="center" vertical="center"/>
    </xf>
    <xf numFmtId="0" fontId="29" fillId="21" borderId="12" applyAlignment="1" pivotButton="0" quotePrefix="0" xfId="0">
      <alignment horizontal="center" vertical="center"/>
    </xf>
    <xf numFmtId="0" fontId="29" fillId="0" borderId="13" applyAlignment="1" pivotButton="0" quotePrefix="0" xfId="0">
      <alignment horizontal="center" vertical="center"/>
    </xf>
    <xf numFmtId="9" fontId="29" fillId="0" borderId="14" applyAlignment="1" pivotButton="0" quotePrefix="0" xfId="0">
      <alignment horizontal="center" vertical="center"/>
    </xf>
    <xf numFmtId="165" fontId="29" fillId="0" borderId="15" applyAlignment="1" pivotButton="0" quotePrefix="0" xfId="0">
      <alignment horizontal="center" vertical="center"/>
    </xf>
    <xf numFmtId="0" fontId="29" fillId="0" borderId="15" applyAlignment="1" pivotButton="0" quotePrefix="0" xfId="0">
      <alignment horizontal="center" vertical="center"/>
    </xf>
    <xf numFmtId="0" fontId="29" fillId="0" borderId="15" applyAlignment="1" pivotButton="0" quotePrefix="0" xfId="0">
      <alignment horizontal="center" vertical="center"/>
    </xf>
    <xf numFmtId="0" fontId="29" fillId="18" borderId="15" applyAlignment="1" pivotButton="0" quotePrefix="0" xfId="0">
      <alignment horizontal="center" vertical="center"/>
    </xf>
    <xf numFmtId="0" fontId="29" fillId="18" borderId="15" applyAlignment="1" pivotButton="0" quotePrefix="0" xfId="0">
      <alignment horizontal="center" vertical="center"/>
    </xf>
    <xf numFmtId="0" fontId="29" fillId="17" borderId="15" applyAlignment="1" pivotButton="0" quotePrefix="0" xfId="0">
      <alignment horizontal="center" vertical="center"/>
    </xf>
    <xf numFmtId="0" fontId="29" fillId="19" borderId="15" applyAlignment="1" pivotButton="0" quotePrefix="0" xfId="0">
      <alignment horizontal="center" vertical="center"/>
    </xf>
    <xf numFmtId="0" fontId="29" fillId="20" borderId="15" applyAlignment="1" pivotButton="0" quotePrefix="0" xfId="0">
      <alignment horizontal="center" vertical="center"/>
    </xf>
    <xf numFmtId="0" fontId="29" fillId="21" borderId="15" applyAlignment="1" pivotButton="0" quotePrefix="0" xfId="0">
      <alignment horizontal="center" vertical="center"/>
    </xf>
    <xf numFmtId="0" fontId="29" fillId="0" borderId="16" applyAlignment="1" pivotButton="0" quotePrefix="0" xfId="0">
      <alignment horizontal="center" vertical="center"/>
    </xf>
    <xf numFmtId="9" fontId="28" fillId="22" borderId="1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vertical="center" wrapText="1"/>
    </xf>
    <xf numFmtId="164" fontId="28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center" vertical="center" wrapText="1"/>
    </xf>
    <xf numFmtId="9" fontId="28" fillId="0" borderId="0" applyAlignment="1" pivotButton="0" quotePrefix="0" xfId="0">
      <alignment horizontal="center" vertical="center" wrapText="1"/>
    </xf>
    <xf numFmtId="9" fontId="29" fillId="0" borderId="17" applyAlignment="1" pivotButton="0" quotePrefix="0" xfId="0">
      <alignment horizontal="center" vertical="center"/>
    </xf>
    <xf numFmtId="165" fontId="29" fillId="0" borderId="18" applyAlignment="1" pivotButton="0" quotePrefix="0" xfId="0">
      <alignment horizontal="center" vertical="center"/>
    </xf>
    <xf numFmtId="0" fontId="29" fillId="0" borderId="18" applyAlignment="1" pivotButton="0" quotePrefix="0" xfId="0">
      <alignment horizontal="center" vertical="center"/>
    </xf>
    <xf numFmtId="0" fontId="29" fillId="18" borderId="18" applyAlignment="1" pivotButton="0" quotePrefix="0" xfId="0">
      <alignment horizontal="center" vertical="center"/>
    </xf>
    <xf numFmtId="0" fontId="29" fillId="17" borderId="18" applyAlignment="1" pivotButton="0" quotePrefix="0" xfId="0">
      <alignment horizontal="center" vertical="center"/>
    </xf>
    <xf numFmtId="0" fontId="29" fillId="19" borderId="18" applyAlignment="1" pivotButton="0" quotePrefix="0" xfId="0">
      <alignment horizontal="center" vertical="center"/>
    </xf>
    <xf numFmtId="0" fontId="29" fillId="20" borderId="18" applyAlignment="1" pivotButton="0" quotePrefix="0" xfId="0">
      <alignment horizontal="center" vertical="center"/>
    </xf>
    <xf numFmtId="0" fontId="29" fillId="21" borderId="18" applyAlignment="1" pivotButton="0" quotePrefix="0" xfId="0">
      <alignment horizontal="center" vertical="center"/>
    </xf>
    <xf numFmtId="0" fontId="29" fillId="0" borderId="19" applyAlignment="1" pivotButton="0" quotePrefix="0" xfId="0">
      <alignment horizontal="center" vertical="center"/>
    </xf>
    <xf numFmtId="0" fontId="29" fillId="13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2" fillId="0" borderId="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0" fontId="0" fillId="0" borderId="4" pivotButton="0" quotePrefix="0" xfId="0"/>
    <xf numFmtId="0" fontId="22" fillId="8" borderId="2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2" fillId="9" borderId="20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26" fillId="23" borderId="9" applyAlignment="1" pivotButton="0" quotePrefix="0" xfId="0">
      <alignment horizontal="left" vertical="center" wrapText="1"/>
    </xf>
    <xf numFmtId="0" fontId="26" fillId="23" borderId="9" applyAlignment="1" pivotButton="0" quotePrefix="0" xfId="0">
      <alignment vertical="center"/>
    </xf>
    <xf numFmtId="0" fontId="26" fillId="23" borderId="0" applyAlignment="1" pivotButton="0" quotePrefix="0" xfId="0">
      <alignment horizontal="center" vertical="center"/>
    </xf>
    <xf numFmtId="165" fontId="26" fillId="23" borderId="0" applyAlignment="1" pivotButton="0" quotePrefix="0" xfId="0">
      <alignment horizontal="center" vertical="center"/>
    </xf>
    <xf numFmtId="3" fontId="26" fillId="23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9" fontId="29" fillId="24" borderId="11" applyAlignment="1" pivotButton="0" quotePrefix="0" xfId="0">
      <alignment horizontal="center" vertical="center"/>
    </xf>
    <xf numFmtId="165" fontId="29" fillId="24" borderId="12" applyAlignment="1" pivotButton="0" quotePrefix="0" xfId="0">
      <alignment horizontal="center" vertical="center"/>
    </xf>
    <xf numFmtId="9" fontId="29" fillId="24" borderId="14" applyAlignment="1" pivotButton="0" quotePrefix="0" xfId="0">
      <alignment horizontal="center" vertical="center"/>
    </xf>
    <xf numFmtId="165" fontId="29" fillId="24" borderId="15" applyAlignment="1" pivotButton="0" quotePrefix="0" xfId="0">
      <alignment horizontal="center" vertical="center"/>
    </xf>
    <xf numFmtId="0" fontId="29" fillId="24" borderId="15" applyAlignment="1" pivotButton="0" quotePrefix="0" xfId="0">
      <alignment horizontal="center" vertical="center"/>
    </xf>
    <xf numFmtId="0" fontId="28" fillId="23" borderId="10" applyAlignment="1" pivotButton="0" quotePrefix="0" xfId="0">
      <alignment horizontal="left" vertical="center" wrapText="1"/>
    </xf>
    <xf numFmtId="0" fontId="28" fillId="23" borderId="10" applyAlignment="1" pivotButton="0" quotePrefix="0" xfId="0">
      <alignment vertical="center" wrapText="1"/>
    </xf>
    <xf numFmtId="9" fontId="29" fillId="23" borderId="14" applyAlignment="1" pivotButton="0" quotePrefix="0" xfId="0">
      <alignment horizontal="center" vertical="center"/>
    </xf>
    <xf numFmtId="165" fontId="29" fillId="23" borderId="15" applyAlignment="1" pivotButton="0" quotePrefix="0" xfId="0">
      <alignment horizontal="center" vertical="center"/>
    </xf>
    <xf numFmtId="0" fontId="29" fillId="23" borderId="15" applyAlignment="1" pivotButton="0" quotePrefix="0" xfId="0">
      <alignment horizontal="center" vertical="center"/>
    </xf>
    <xf numFmtId="0" fontId="29" fillId="24" borderId="18" applyAlignment="1" pivotButton="0" quotePrefix="0" xfId="0">
      <alignment horizontal="center" vertical="center"/>
    </xf>
    <xf numFmtId="166" fontId="26" fillId="16" borderId="9" applyAlignment="1" pivotButton="0" quotePrefix="0" xfId="0">
      <alignment vertical="center" wrapText="1"/>
    </xf>
    <xf numFmtId="165" fontId="26" fillId="0" borderId="0" applyAlignment="1" pivotButton="0" quotePrefix="0" xfId="0">
      <alignment horizontal="center" vertical="center"/>
    </xf>
    <xf numFmtId="3" fontId="26" fillId="0" borderId="0" applyAlignment="1" pivotButton="0" quotePrefix="0" xfId="0">
      <alignment horizontal="center" vertical="center"/>
    </xf>
    <xf numFmtId="0" fontId="26" fillId="24" borderId="0" applyAlignment="1" pivotButton="0" quotePrefix="0" xfId="0">
      <alignment horizontal="center" vertical="center"/>
    </xf>
    <xf numFmtId="0" fontId="29" fillId="25" borderId="12" applyAlignment="1" pivotButton="0" quotePrefix="0" xfId="0">
      <alignment horizontal="center" vertical="center"/>
    </xf>
    <xf numFmtId="0" fontId="29" fillId="23" borderId="12" applyAlignment="1" pivotButton="0" quotePrefix="0" xfId="0">
      <alignment horizontal="center" vertical="center"/>
    </xf>
    <xf numFmtId="0" fontId="29" fillId="26" borderId="12" applyAlignment="1" pivotButton="0" quotePrefix="0" xfId="0">
      <alignment horizontal="center" vertical="center"/>
    </xf>
    <xf numFmtId="0" fontId="29" fillId="25" borderId="15" applyAlignment="1" pivotButton="0" quotePrefix="0" xfId="0">
      <alignment horizontal="center" vertical="center"/>
    </xf>
    <xf numFmtId="0" fontId="29" fillId="24" borderId="12" applyAlignment="1" pivotButton="0" quotePrefix="0" xfId="0">
      <alignment horizontal="center" vertical="center"/>
    </xf>
    <xf numFmtId="0" fontId="29" fillId="26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BQ38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4.25" customWidth="1" style="106" min="1" max="1"/>
    <col width="11.13" customWidth="1" style="106" min="2" max="2"/>
    <col width="27.75" customWidth="1" style="106" min="3" max="3"/>
    <col width="12.13" customWidth="1" style="106" min="4" max="4"/>
    <col width="10.5" customWidth="1" style="106" min="5" max="6"/>
    <col width="8.630000000000001" customWidth="1" style="106" min="7" max="7"/>
    <col width="3" customWidth="1" style="106" min="9" max="68"/>
    <col width="3.38" customWidth="1" style="106" min="69" max="69"/>
  </cols>
  <sheetData>
    <row r="1" ht="21" customHeight="1" s="106">
      <c r="A1" s="1" t="n"/>
      <c r="B1" s="2" t="n"/>
      <c r="C1" s="3" t="n"/>
      <c r="D1" s="3" t="n"/>
      <c r="E1" s="3" t="n"/>
      <c r="F1" s="4" t="n"/>
      <c r="G1" s="4" t="n"/>
      <c r="H1" s="3" t="n"/>
      <c r="I1" s="5" t="n"/>
      <c r="J1" s="6" t="n"/>
      <c r="K1" s="9" t="n"/>
      <c r="L1" s="8" t="n"/>
      <c r="M1" s="9" t="n"/>
      <c r="N1" s="9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</row>
    <row r="2" ht="21" customHeight="1" s="106">
      <c r="A2" s="1" t="n"/>
      <c r="B2" s="11" t="inlineStr">
        <is>
          <t>CRONOGRAMA GANTT ONBOARDING CASHEA</t>
        </is>
      </c>
      <c r="C2" s="107" t="n"/>
      <c r="D2" s="107" t="n"/>
      <c r="E2" s="107" t="n"/>
      <c r="F2" s="107" t="n"/>
      <c r="G2" s="107" t="n"/>
      <c r="H2" s="13" t="n"/>
      <c r="I2" s="14" t="inlineStr">
        <is>
          <t>Smartsheet Tip ➜</t>
        </is>
      </c>
      <c r="J2" s="107" t="n"/>
      <c r="K2" s="107" t="n"/>
      <c r="L2" s="107" t="n"/>
      <c r="M2" s="107" t="n"/>
      <c r="N2" s="107" t="n"/>
      <c r="O2" s="15" t="inlineStr">
        <is>
          <t>A Gantt chart's visual timeline allows you to see details about each task as well as project dependencies.</t>
        </is>
      </c>
      <c r="P2" s="107" t="n"/>
      <c r="Q2" s="107" t="n"/>
      <c r="R2" s="107" t="n"/>
      <c r="S2" s="107" t="n"/>
      <c r="T2" s="107" t="n"/>
      <c r="U2" s="107" t="n"/>
      <c r="V2" s="107" t="n"/>
      <c r="W2" s="107" t="n"/>
      <c r="X2" s="107" t="n"/>
      <c r="Y2" s="107" t="n"/>
      <c r="Z2" s="107" t="n"/>
      <c r="AA2" s="107" t="n"/>
      <c r="AB2" s="107" t="n"/>
      <c r="AC2" s="107" t="n"/>
      <c r="AD2" s="107" t="n"/>
      <c r="AE2" s="107" t="n"/>
      <c r="AF2" s="16" t="n"/>
      <c r="AG2" s="16" t="n"/>
      <c r="AH2" s="16" t="n"/>
      <c r="AI2" s="16" t="n"/>
      <c r="AJ2" s="16" t="n"/>
      <c r="AK2" s="16" t="n"/>
      <c r="AL2" s="16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</row>
    <row r="3" ht="21" customHeight="1" s="106">
      <c r="A3" s="1" t="n"/>
      <c r="B3" s="17" t="n"/>
      <c r="C3" s="17" t="n"/>
      <c r="D3" s="18" t="n"/>
      <c r="E3" s="18" t="n"/>
      <c r="F3" s="18" t="n"/>
      <c r="G3" s="18" t="n"/>
      <c r="H3" s="18" t="n"/>
      <c r="I3" s="19" t="n"/>
      <c r="J3" s="19" t="n"/>
      <c r="K3" s="19" t="n"/>
      <c r="L3" s="19" t="n"/>
      <c r="M3" s="20" t="n"/>
      <c r="N3" s="20" t="n"/>
      <c r="O3" s="2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</row>
    <row r="4" ht="21" customHeight="1" s="106">
      <c r="A4" s="1" t="n"/>
      <c r="B4" s="21" t="inlineStr">
        <is>
          <t>TITULO DEL PROYECTO</t>
        </is>
      </c>
      <c r="C4" s="108" t="n"/>
      <c r="D4" s="23" t="inlineStr">
        <is>
          <t>Implementacion PoC Onboarding Cashea</t>
        </is>
      </c>
      <c r="E4" s="108" t="n"/>
      <c r="F4" s="108" t="n"/>
      <c r="G4" s="108" t="n"/>
      <c r="H4" s="24" t="n"/>
      <c r="I4" s="21" t="inlineStr">
        <is>
          <t>EMPRESA</t>
        </is>
      </c>
      <c r="J4" s="108" t="n"/>
      <c r="K4" s="108" t="n"/>
      <c r="L4" s="108" t="n"/>
      <c r="M4" s="108" t="n"/>
      <c r="N4" s="108" t="n"/>
      <c r="O4" s="108" t="n"/>
      <c r="P4" s="25" t="inlineStr">
        <is>
          <t>PathPilot x Cashea</t>
        </is>
      </c>
      <c r="Q4" s="108" t="n"/>
      <c r="R4" s="108" t="n"/>
      <c r="S4" s="108" t="n"/>
      <c r="T4" s="108" t="n"/>
      <c r="U4" s="108" t="n"/>
      <c r="V4" s="108" t="n"/>
      <c r="W4" s="108" t="n"/>
      <c r="X4" s="108" t="n"/>
      <c r="Y4" s="108" t="n"/>
      <c r="Z4" s="108" t="n"/>
      <c r="AA4" s="108" t="n"/>
      <c r="AB4" s="108" t="n"/>
      <c r="AC4" s="26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</row>
    <row r="5" ht="21" customHeight="1" s="106">
      <c r="A5" s="1" t="n"/>
      <c r="B5" s="21" t="inlineStr">
        <is>
          <t>RESPONSABLE</t>
        </is>
      </c>
      <c r="C5" s="108" t="n"/>
      <c r="D5" s="27" t="inlineStr">
        <is>
          <t>Victor (PathPilot)</t>
        </is>
      </c>
      <c r="E5" s="108" t="n"/>
      <c r="F5" s="108" t="n"/>
      <c r="G5" s="108" t="n"/>
      <c r="H5" s="28" t="n"/>
      <c r="I5" s="21" t="inlineStr">
        <is>
          <t>FECHA</t>
        </is>
      </c>
      <c r="J5" s="108" t="n"/>
      <c r="K5" s="108" t="n"/>
      <c r="L5" s="108" t="n"/>
      <c r="M5" s="108" t="n"/>
      <c r="N5" s="108" t="n"/>
      <c r="O5" s="108" t="n"/>
      <c r="P5" s="29" t="n">
        <v>46108</v>
      </c>
      <c r="Q5" s="108" t="n"/>
      <c r="R5" s="108" t="n"/>
      <c r="S5" s="108" t="n"/>
      <c r="T5" s="108" t="n"/>
      <c r="U5" s="108" t="n"/>
      <c r="V5" s="108" t="n"/>
      <c r="W5" s="108" t="n"/>
      <c r="X5" s="108" t="n"/>
      <c r="Y5" s="108" t="n"/>
      <c r="Z5" s="108" t="n"/>
      <c r="AA5" s="108" t="n"/>
      <c r="AB5" s="30" t="n"/>
      <c r="AC5" s="26" t="n"/>
      <c r="AD5" s="1" t="n"/>
      <c r="AE5" s="1" t="n"/>
      <c r="AF5" s="1" t="n"/>
      <c r="AG5" s="1" t="n"/>
      <c r="AH5" s="1" t="n"/>
      <c r="AI5" s="1" t="n"/>
      <c r="AJ5" s="1" t="n"/>
      <c r="AK5" s="1" t="n"/>
      <c r="AL5" s="3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</row>
    <row r="6" ht="21" customHeight="1" s="106">
      <c r="A6" s="32" t="n"/>
      <c r="B6" s="33" t="n"/>
      <c r="C6" s="33" t="n"/>
      <c r="D6" s="33" t="n"/>
      <c r="E6" s="33" t="n"/>
      <c r="F6" s="33" t="n"/>
      <c r="G6" s="34" t="n"/>
      <c r="H6" s="34" t="n"/>
      <c r="I6" s="33" t="n"/>
      <c r="J6" s="33" t="n"/>
      <c r="K6" s="33" t="n"/>
      <c r="L6" s="33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  <c r="AV6" s="32" t="n"/>
      <c r="AW6" s="32" t="n"/>
      <c r="AX6" s="32" t="n"/>
      <c r="AY6" s="32" t="n"/>
      <c r="AZ6" s="32" t="n"/>
      <c r="BA6" s="32" t="n"/>
      <c r="BB6" s="32" t="n"/>
      <c r="BC6" s="32" t="n"/>
      <c r="BD6" s="32" t="n"/>
      <c r="BE6" s="32" t="n"/>
      <c r="BF6" s="32" t="n"/>
      <c r="BG6" s="32" t="n"/>
      <c r="BH6" s="32" t="n"/>
      <c r="BI6" s="32" t="n"/>
      <c r="BJ6" s="32" t="n"/>
      <c r="BK6" s="32" t="n"/>
      <c r="BL6" s="32" t="n"/>
      <c r="BM6" s="32" t="n"/>
      <c r="BN6" s="32" t="n"/>
      <c r="BO6" s="32" t="n"/>
      <c r="BP6" s="32" t="n"/>
      <c r="BQ6" s="32" t="n"/>
    </row>
    <row r="7" ht="21" customHeight="1" s="106">
      <c r="A7" s="32" t="n"/>
      <c r="B7" s="33" t="n"/>
      <c r="C7" s="33" t="n"/>
      <c r="D7" s="33" t="n"/>
      <c r="E7" s="33" t="n"/>
      <c r="F7" s="33" t="n"/>
      <c r="G7" s="34" t="n"/>
      <c r="H7" s="34" t="n"/>
      <c r="I7" s="33" t="n"/>
      <c r="J7" s="33" t="n"/>
      <c r="K7" s="33" t="n"/>
      <c r="L7" s="33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  <c r="AD7" s="32" t="n"/>
      <c r="AE7" s="32" t="n"/>
      <c r="AF7" s="32" t="n"/>
      <c r="AG7" s="32" t="n"/>
      <c r="AH7" s="32" t="n"/>
      <c r="AI7" s="32" t="n"/>
      <c r="AJ7" s="32" t="n"/>
      <c r="AK7" s="32" t="n"/>
      <c r="AL7" s="32" t="n"/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  <c r="AV7" s="32" t="n"/>
      <c r="AW7" s="32" t="n"/>
      <c r="AX7" s="32" t="n"/>
      <c r="AY7" s="32" t="n"/>
      <c r="AZ7" s="32" t="n"/>
      <c r="BA7" s="32" t="n"/>
      <c r="BB7" s="32" t="n"/>
      <c r="BC7" s="32" t="n"/>
      <c r="BD7" s="32" t="n"/>
      <c r="BE7" s="32" t="n"/>
      <c r="BF7" s="32" t="n"/>
      <c r="BG7" s="32" t="n"/>
      <c r="BH7" s="32" t="n"/>
      <c r="BI7" s="32" t="n"/>
      <c r="BJ7" s="32" t="n"/>
      <c r="BK7" s="32" t="n"/>
      <c r="BL7" s="32" t="n"/>
      <c r="BM7" s="32" t="n"/>
      <c r="BN7" s="32" t="n"/>
      <c r="BO7" s="32" t="n"/>
      <c r="BP7" s="32" t="n"/>
      <c r="BQ7" s="32" t="n"/>
    </row>
    <row r="8" ht="17.25" customHeight="1" s="106">
      <c r="A8" s="35" t="n"/>
      <c r="B8" s="36" t="inlineStr">
        <is>
          <t>WBS NUMBER</t>
        </is>
      </c>
      <c r="C8" s="36" t="inlineStr">
        <is>
          <t>TASK TITLE</t>
        </is>
      </c>
      <c r="D8" s="36" t="inlineStr">
        <is>
          <t>TASK OWNER</t>
        </is>
      </c>
      <c r="E8" s="36" t="inlineStr">
        <is>
          <t>START DATE</t>
        </is>
      </c>
      <c r="F8" s="36" t="inlineStr">
        <is>
          <t>DUE DATE</t>
        </is>
      </c>
      <c r="G8" s="36" t="inlineStr">
        <is>
          <t>DURATION</t>
        </is>
      </c>
      <c r="H8" s="36" t="inlineStr">
        <is>
          <t>PCT OF TASK COMPLETE</t>
        </is>
      </c>
      <c r="I8" s="37" t="inlineStr">
        <is>
          <t>Plan semanal de implementacion</t>
        </is>
      </c>
      <c r="X8" s="38" t="inlineStr">
        <is>
          <t>Dependencias y disponibilidad de API</t>
        </is>
      </c>
      <c r="AM8" s="109" t="inlineStr"/>
      <c r="BB8" s="110" t="inlineStr"/>
      <c r="BP8" s="111" t="n"/>
      <c r="BQ8" s="32" t="n"/>
    </row>
    <row r="9" ht="17.25" customHeight="1" s="106">
      <c r="A9" s="42" t="n"/>
      <c r="I9" s="112" t="inlineStr">
        <is>
          <t>Mar 23-Mar 27</t>
        </is>
      </c>
      <c r="J9" s="113" t="n"/>
      <c r="K9" s="113" t="n"/>
      <c r="L9" s="113" t="n"/>
      <c r="M9" s="114" t="n"/>
      <c r="N9" s="112" t="inlineStr">
        <is>
          <t>Mar 30-Apr 3</t>
        </is>
      </c>
      <c r="O9" s="113" t="n"/>
      <c r="P9" s="113" t="n"/>
      <c r="Q9" s="113" t="n"/>
      <c r="R9" s="114" t="n"/>
      <c r="S9" s="112" t="inlineStr">
        <is>
          <t>Apr 6-Apr 10</t>
        </is>
      </c>
      <c r="T9" s="113" t="n"/>
      <c r="U9" s="113" t="n"/>
      <c r="V9" s="113" t="n"/>
      <c r="W9" s="114" t="n"/>
      <c r="X9" s="115" t="inlineStr">
        <is>
          <t>Apr 13-Apr 17</t>
        </is>
      </c>
      <c r="Y9" s="113" t="n"/>
      <c r="Z9" s="113" t="n"/>
      <c r="AA9" s="113" t="n"/>
      <c r="AB9" s="114" t="n"/>
      <c r="AC9" s="115" t="inlineStr">
        <is>
          <t>Apr 20-Apr 24</t>
        </is>
      </c>
      <c r="AD9" s="113" t="n"/>
      <c r="AE9" s="113" t="n"/>
      <c r="AF9" s="113" t="n"/>
      <c r="AG9" s="114" t="n"/>
      <c r="AH9" s="116" t="n"/>
      <c r="AI9" s="113" t="n"/>
      <c r="AJ9" s="113" t="n"/>
      <c r="AK9" s="113" t="n"/>
      <c r="AL9" s="114" t="n"/>
      <c r="AM9" s="116" t="n"/>
      <c r="AN9" s="113" t="n"/>
      <c r="AO9" s="113" t="n"/>
      <c r="AP9" s="113" t="n"/>
      <c r="AQ9" s="114" t="n"/>
      <c r="AR9" s="116" t="n"/>
      <c r="AS9" s="113" t="n"/>
      <c r="AT9" s="113" t="n"/>
      <c r="AU9" s="113" t="n"/>
      <c r="AV9" s="114" t="n"/>
      <c r="AW9" s="116" t="n"/>
      <c r="AX9" s="113" t="n"/>
      <c r="AY9" s="113" t="n"/>
      <c r="AZ9" s="113" t="n"/>
      <c r="BA9" s="114" t="n"/>
      <c r="BB9" s="116" t="n"/>
      <c r="BC9" s="113" t="n"/>
      <c r="BD9" s="113" t="n"/>
      <c r="BE9" s="113" t="n"/>
      <c r="BF9" s="114" t="n"/>
      <c r="BG9" s="116" t="n"/>
      <c r="BH9" s="113" t="n"/>
      <c r="BI9" s="113" t="n"/>
      <c r="BJ9" s="113" t="n"/>
      <c r="BK9" s="114" t="n"/>
      <c r="BL9" s="116" t="n"/>
      <c r="BM9" s="113" t="n"/>
      <c r="BN9" s="113" t="n"/>
      <c r="BO9" s="113" t="n"/>
      <c r="BP9" s="114" t="n"/>
      <c r="BQ9" s="42" t="n"/>
    </row>
    <row r="10" ht="17.25" customHeight="1" s="106">
      <c r="A10" s="49" t="n"/>
      <c r="I10" s="50" t="inlineStr">
        <is>
          <t>L</t>
        </is>
      </c>
      <c r="J10" s="50" t="inlineStr">
        <is>
          <t>M</t>
        </is>
      </c>
      <c r="K10" s="50" t="inlineStr">
        <is>
          <t>X</t>
        </is>
      </c>
      <c r="L10" s="50" t="inlineStr">
        <is>
          <t>J</t>
        </is>
      </c>
      <c r="M10" s="50" t="inlineStr">
        <is>
          <t>V</t>
        </is>
      </c>
      <c r="N10" s="50" t="inlineStr">
        <is>
          <t>L</t>
        </is>
      </c>
      <c r="O10" s="50" t="inlineStr">
        <is>
          <t>M</t>
        </is>
      </c>
      <c r="P10" s="50" t="inlineStr">
        <is>
          <t>X</t>
        </is>
      </c>
      <c r="Q10" s="50" t="inlineStr">
        <is>
          <t>J</t>
        </is>
      </c>
      <c r="R10" s="50" t="inlineStr">
        <is>
          <t>V</t>
        </is>
      </c>
      <c r="S10" s="50" t="inlineStr">
        <is>
          <t>L</t>
        </is>
      </c>
      <c r="T10" s="50" t="inlineStr">
        <is>
          <t>M</t>
        </is>
      </c>
      <c r="U10" s="50" t="inlineStr">
        <is>
          <t>X</t>
        </is>
      </c>
      <c r="V10" s="50" t="inlineStr">
        <is>
          <t>J</t>
        </is>
      </c>
      <c r="W10" s="50" t="inlineStr">
        <is>
          <t>V</t>
        </is>
      </c>
      <c r="X10" s="51" t="inlineStr">
        <is>
          <t>L</t>
        </is>
      </c>
      <c r="Y10" s="51" t="inlineStr">
        <is>
          <t>M</t>
        </is>
      </c>
      <c r="Z10" s="51" t="inlineStr">
        <is>
          <t>X</t>
        </is>
      </c>
      <c r="AA10" s="51" t="inlineStr">
        <is>
          <t>J</t>
        </is>
      </c>
      <c r="AB10" s="51" t="inlineStr">
        <is>
          <t>V</t>
        </is>
      </c>
      <c r="AC10" s="51" t="inlineStr">
        <is>
          <t>L</t>
        </is>
      </c>
      <c r="AD10" s="51" t="inlineStr">
        <is>
          <t>M</t>
        </is>
      </c>
      <c r="AE10" s="51" t="inlineStr">
        <is>
          <t>X</t>
        </is>
      </c>
      <c r="AF10" s="51" t="inlineStr">
        <is>
          <t>J</t>
        </is>
      </c>
      <c r="AG10" s="51" t="inlineStr">
        <is>
          <t>V</t>
        </is>
      </c>
      <c r="AH10" s="117" t="n"/>
      <c r="AI10" s="117" t="n"/>
      <c r="AJ10" s="117" t="n"/>
      <c r="AK10" s="117" t="n"/>
      <c r="AL10" s="117" t="n"/>
      <c r="AM10" s="117" t="n"/>
      <c r="AN10" s="117" t="n"/>
      <c r="AO10" s="117" t="n"/>
      <c r="AP10" s="117" t="n"/>
      <c r="AQ10" s="117" t="n"/>
      <c r="AR10" s="117" t="n"/>
      <c r="AS10" s="117" t="n"/>
      <c r="AT10" s="117" t="n"/>
      <c r="AU10" s="117" t="n"/>
      <c r="AV10" s="117" t="n"/>
      <c r="AW10" s="117" t="n"/>
      <c r="AX10" s="117" t="n"/>
      <c r="AY10" s="117" t="n"/>
      <c r="AZ10" s="117" t="n"/>
      <c r="BA10" s="117" t="n"/>
      <c r="BB10" s="117" t="n"/>
      <c r="BC10" s="117" t="n"/>
      <c r="BD10" s="117" t="n"/>
      <c r="BE10" s="117" t="n"/>
      <c r="BF10" s="117" t="n"/>
      <c r="BG10" s="117" t="n"/>
      <c r="BH10" s="117" t="n"/>
      <c r="BI10" s="117" t="n"/>
      <c r="BJ10" s="117" t="n"/>
      <c r="BK10" s="117" t="n"/>
      <c r="BL10" s="117" t="n"/>
      <c r="BM10" s="117" t="n"/>
      <c r="BN10" s="117" t="n"/>
      <c r="BO10" s="117" t="n"/>
      <c r="BP10" s="117" t="n"/>
      <c r="BQ10" s="49" t="n"/>
    </row>
    <row r="11" ht="21" customHeight="1" s="106">
      <c r="A11" s="32" t="n"/>
      <c r="B11" s="118" t="inlineStr">
        <is>
          <t>1.0</t>
        </is>
      </c>
      <c r="C11" s="119" t="inlineStr">
        <is>
          <t>Semana 1: Implementacion base</t>
        </is>
      </c>
      <c r="D11" s="56" t="n"/>
      <c r="E11" s="56" t="n"/>
      <c r="F11" s="56" t="n"/>
      <c r="G11" s="56" t="n"/>
      <c r="H11" s="56" t="n"/>
      <c r="I11" s="120" t="n"/>
      <c r="J11" s="121" t="n"/>
      <c r="K11" s="122" t="n"/>
      <c r="L11" s="122" t="n"/>
      <c r="M11" s="120" t="n"/>
      <c r="N11" s="120" t="n"/>
      <c r="O11" s="120" t="n"/>
      <c r="P11" s="120" t="n"/>
      <c r="Q11" s="120" t="n"/>
      <c r="R11" s="120" t="n"/>
      <c r="S11" s="120" t="n"/>
      <c r="T11" s="120" t="n"/>
      <c r="U11" s="120" t="n"/>
      <c r="V11" s="120" t="n"/>
      <c r="W11" s="120" t="n"/>
      <c r="X11" s="120" t="n"/>
      <c r="Y11" s="120" t="n"/>
      <c r="Z11" s="120" t="n"/>
      <c r="AA11" s="120" t="n"/>
      <c r="AB11" s="120" t="n"/>
      <c r="AC11" s="120" t="n"/>
      <c r="AD11" s="120" t="n"/>
      <c r="AE11" s="120" t="n"/>
      <c r="AF11" s="120" t="n"/>
      <c r="AG11" s="120" t="n"/>
      <c r="AH11" s="123" t="n"/>
      <c r="AI11" s="123" t="n"/>
      <c r="AJ11" s="123" t="n"/>
      <c r="AK11" s="123" t="n"/>
      <c r="AL11" s="123" t="n"/>
      <c r="AM11" s="123" t="n"/>
      <c r="AN11" s="123" t="n"/>
      <c r="AO11" s="123" t="n"/>
      <c r="AP11" s="123" t="n"/>
      <c r="AQ11" s="123" t="n"/>
      <c r="AR11" s="123" t="n"/>
      <c r="AS11" s="123" t="n"/>
      <c r="AT11" s="123" t="n"/>
      <c r="AU11" s="123" t="n"/>
      <c r="AV11" s="123" t="n"/>
      <c r="AW11" s="123" t="n"/>
      <c r="AX11" s="123" t="n"/>
      <c r="AY11" s="123" t="n"/>
      <c r="AZ11" s="123" t="n"/>
      <c r="BA11" s="123" t="n"/>
      <c r="BB11" s="123" t="n"/>
      <c r="BC11" s="123" t="n"/>
      <c r="BD11" s="123" t="n"/>
      <c r="BE11" s="123" t="n"/>
      <c r="BF11" s="123" t="n"/>
      <c r="BG11" s="123" t="n"/>
      <c r="BH11" s="123" t="n"/>
      <c r="BI11" s="123" t="n"/>
      <c r="BJ11" s="123" t="n"/>
      <c r="BK11" s="123" t="n"/>
      <c r="BL11" s="123" t="n"/>
      <c r="BM11" s="123" t="n"/>
      <c r="BN11" s="123" t="n"/>
      <c r="BO11" s="123" t="n"/>
      <c r="BP11" s="123" t="n"/>
      <c r="BQ11" s="32" t="n"/>
    </row>
    <row r="12" outlineLevel="1" ht="17.25" customHeight="1" s="106">
      <c r="A12" s="61" t="n"/>
      <c r="B12" s="62" t="inlineStr">
        <is>
          <t>1.1</t>
        </is>
      </c>
      <c r="C12" s="63" t="inlineStr">
        <is>
          <t>Implementacion base del repositorio</t>
        </is>
      </c>
      <c r="D12" s="63" t="inlineStr">
        <is>
          <t>Victor (PathPilot)</t>
        </is>
      </c>
      <c r="E12" s="64" t="n">
        <v>46104</v>
      </c>
      <c r="F12" s="64" t="n">
        <v>46105</v>
      </c>
      <c r="G12" s="65">
        <f>DAYS360(E12,F12)</f>
        <v/>
      </c>
      <c r="H12" s="66" t="n">
        <v>0</v>
      </c>
      <c r="I12" s="124" t="n"/>
      <c r="J12" s="125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3" t="n"/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3" t="n"/>
      <c r="BH12" s="73" t="n"/>
      <c r="BI12" s="73" t="n"/>
      <c r="BJ12" s="73" t="n"/>
      <c r="BK12" s="73" t="n"/>
      <c r="BL12" s="73" t="n"/>
      <c r="BM12" s="73" t="n"/>
      <c r="BN12" s="73" t="n"/>
      <c r="BO12" s="73" t="n"/>
      <c r="BP12" s="77" t="n"/>
      <c r="BQ12" s="61" t="n"/>
    </row>
    <row r="13" outlineLevel="1" ht="17.25" customHeight="1" s="106">
      <c r="A13" s="61" t="n"/>
      <c r="B13" s="62" t="inlineStr">
        <is>
          <t>1.2</t>
        </is>
      </c>
      <c r="C13" s="63" t="inlineStr">
        <is>
          <t>GitHub, CI basica y configuracion del stack</t>
        </is>
      </c>
      <c r="D13" s="63" t="inlineStr">
        <is>
          <t>Victor (PathPilot)</t>
        </is>
      </c>
      <c r="E13" s="64" t="n">
        <v>46104</v>
      </c>
      <c r="F13" s="64" t="n">
        <v>46106</v>
      </c>
      <c r="G13" s="65">
        <f>DAYS360(E13,F13)</f>
        <v/>
      </c>
      <c r="H13" s="66" t="n">
        <v>0</v>
      </c>
      <c r="I13" s="126" t="n"/>
      <c r="J13" s="127" t="n"/>
      <c r="K13" s="128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8" t="n"/>
      <c r="BQ13" s="61" t="n"/>
    </row>
    <row r="14" outlineLevel="1" ht="17.25" customHeight="1" s="106">
      <c r="A14" s="61" t="n"/>
      <c r="B14" s="62" t="inlineStr">
        <is>
          <t>1.3</t>
        </is>
      </c>
      <c r="C14" s="63" t="inlineStr">
        <is>
          <t>Contrato base de API y workers locales</t>
        </is>
      </c>
      <c r="D14" s="63" t="inlineStr">
        <is>
          <t>Victor (PathPilot)</t>
        </is>
      </c>
      <c r="E14" s="64" t="n">
        <v>46105</v>
      </c>
      <c r="F14" s="64" t="n">
        <v>46107</v>
      </c>
      <c r="G14" s="65">
        <f>DAYS360(E14,F14)</f>
        <v/>
      </c>
      <c r="H14" s="66" t="n">
        <v>0</v>
      </c>
      <c r="I14" s="78" t="n"/>
      <c r="J14" s="127" t="n"/>
      <c r="K14" s="128" t="n"/>
      <c r="L14" s="128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81" t="n"/>
      <c r="AG14" s="81" t="n"/>
      <c r="AH14" s="81" t="n"/>
      <c r="AI14" s="81" t="n"/>
      <c r="AJ14" s="81" t="n"/>
      <c r="AK14" s="81" t="n"/>
      <c r="AL14" s="81" t="n"/>
      <c r="AM14" s="81" t="n"/>
      <c r="AN14" s="81" t="n"/>
      <c r="AO14" s="81" t="n"/>
      <c r="AP14" s="81" t="n"/>
      <c r="AQ14" s="81" t="n"/>
      <c r="AR14" s="81" t="n"/>
      <c r="AS14" s="81" t="n"/>
      <c r="AT14" s="81" t="n"/>
      <c r="AU14" s="81" t="n"/>
      <c r="AV14" s="81" t="n"/>
      <c r="AW14" s="81" t="n"/>
      <c r="AX14" s="81" t="n"/>
      <c r="AY14" s="81" t="n"/>
      <c r="AZ14" s="81" t="n"/>
      <c r="BA14" s="81" t="n"/>
      <c r="BB14" s="81" t="n"/>
      <c r="BC14" s="81" t="n"/>
      <c r="BD14" s="81" t="n"/>
      <c r="BE14" s="81" t="n"/>
      <c r="BF14" s="81" t="n"/>
      <c r="BG14" s="81" t="n"/>
      <c r="BH14" s="81" t="n"/>
      <c r="BI14" s="81" t="n"/>
      <c r="BJ14" s="81" t="n"/>
      <c r="BK14" s="81" t="n"/>
      <c r="BL14" s="81" t="n"/>
      <c r="BM14" s="81" t="n"/>
      <c r="BN14" s="81" t="n"/>
      <c r="BO14" s="81" t="n"/>
      <c r="BP14" s="88" t="n"/>
      <c r="BQ14" s="61" t="n"/>
    </row>
    <row r="15" outlineLevel="1" ht="17.25" customHeight="1" s="106">
      <c r="A15" s="61" t="n"/>
      <c r="B15" s="62" t="inlineStr">
        <is>
          <t>1.4</t>
        </is>
      </c>
      <c r="C15" s="63" t="inlineStr">
        <is>
          <t>Integracion de flujos corriendo localmente</t>
        </is>
      </c>
      <c r="D15" s="63" t="inlineStr">
        <is>
          <t>Victor (PathPilot)</t>
        </is>
      </c>
      <c r="E15" s="64" t="n">
        <v>46106</v>
      </c>
      <c r="F15" s="64" t="n">
        <v>46108</v>
      </c>
      <c r="G15" s="65">
        <f>DAYS360(E15,F15)</f>
        <v/>
      </c>
      <c r="H15" s="89" t="n">
        <v>0</v>
      </c>
      <c r="I15" s="78" t="n"/>
      <c r="J15" s="79" t="n"/>
      <c r="K15" s="128" t="n"/>
      <c r="L15" s="128" t="n"/>
      <c r="M15" s="128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8" t="n"/>
      <c r="BQ15" s="61" t="n"/>
    </row>
    <row r="16" outlineLevel="1" ht="17.25" customHeight="1" s="106">
      <c r="A16" s="61" t="n"/>
      <c r="B16" s="129" t="inlineStr">
        <is>
          <t>2.0</t>
        </is>
      </c>
      <c r="C16" s="130" t="inlineStr">
        <is>
          <t>Semana 2: Extraccion, normalizacion y validacion</t>
        </is>
      </c>
      <c r="D16" s="63" t="n"/>
      <c r="E16" s="64" t="n"/>
      <c r="F16" s="64" t="n"/>
      <c r="G16" s="65" t="n"/>
      <c r="H16" s="66" t="n"/>
      <c r="I16" s="131" t="n"/>
      <c r="J16" s="132" t="n"/>
      <c r="K16" s="133" t="n"/>
      <c r="L16" s="133" t="n"/>
      <c r="M16" s="133" t="n"/>
      <c r="N16" s="133" t="n"/>
      <c r="O16" s="133" t="n"/>
      <c r="P16" s="133" t="n"/>
      <c r="Q16" s="133" t="n"/>
      <c r="R16" s="133" t="n"/>
      <c r="S16" s="133" t="n"/>
      <c r="T16" s="133" t="n"/>
      <c r="U16" s="133" t="n"/>
      <c r="V16" s="133" t="n"/>
      <c r="W16" s="133" t="n"/>
      <c r="X16" s="133" t="n"/>
      <c r="Y16" s="133" t="n"/>
      <c r="Z16" s="133" t="n"/>
      <c r="AA16" s="133" t="n"/>
      <c r="AB16" s="133" t="n"/>
      <c r="AC16" s="133" t="n"/>
      <c r="AD16" s="133" t="n"/>
      <c r="AE16" s="133" t="n"/>
      <c r="AF16" s="133" t="n"/>
      <c r="AG16" s="133" t="n"/>
      <c r="AH16" s="81" t="n"/>
      <c r="AI16" s="81" t="n"/>
      <c r="AJ16" s="81" t="n"/>
      <c r="AK16" s="81" t="n"/>
      <c r="AL16" s="81" t="n"/>
      <c r="AM16" s="81" t="n"/>
      <c r="AN16" s="81" t="n"/>
      <c r="AO16" s="81" t="n"/>
      <c r="AP16" s="81" t="n"/>
      <c r="AQ16" s="81" t="n"/>
      <c r="AR16" s="81" t="n"/>
      <c r="AS16" s="81" t="n"/>
      <c r="AT16" s="81" t="n"/>
      <c r="AU16" s="81" t="n"/>
      <c r="AV16" s="81" t="n"/>
      <c r="AW16" s="81" t="n"/>
      <c r="AX16" s="81" t="n"/>
      <c r="AY16" s="81" t="n"/>
      <c r="AZ16" s="81" t="n"/>
      <c r="BA16" s="81" t="n"/>
      <c r="BB16" s="81" t="n"/>
      <c r="BC16" s="81" t="n"/>
      <c r="BD16" s="81" t="n"/>
      <c r="BE16" s="81" t="n"/>
      <c r="BF16" s="81" t="n"/>
      <c r="BG16" s="81" t="n"/>
      <c r="BH16" s="81" t="n"/>
      <c r="BI16" s="81" t="n"/>
      <c r="BJ16" s="81" t="n"/>
      <c r="BK16" s="81" t="n"/>
      <c r="BL16" s="81" t="n"/>
      <c r="BM16" s="81" t="n"/>
      <c r="BN16" s="81" t="n"/>
      <c r="BO16" s="81" t="n"/>
      <c r="BP16" s="88" t="n"/>
      <c r="BQ16" s="61" t="n"/>
    </row>
    <row r="17" outlineLevel="1" ht="17.25" customHeight="1" s="106">
      <c r="A17" s="61" t="n"/>
      <c r="B17" s="62" t="inlineStr">
        <is>
          <t>2.1</t>
        </is>
      </c>
      <c r="C17" s="63" t="inlineStr">
        <is>
          <t>Extraccion por tipo documental</t>
        </is>
      </c>
      <c r="D17" s="63" t="inlineStr">
        <is>
          <t>Victor (PathPilot)</t>
        </is>
      </c>
      <c r="E17" s="64" t="n">
        <v>46111</v>
      </c>
      <c r="F17" s="64" t="n">
        <v>46113</v>
      </c>
      <c r="G17" s="65">
        <f>DAYS360(E17,F17)</f>
        <v/>
      </c>
      <c r="H17" s="66" t="n">
        <v>0</v>
      </c>
      <c r="I17" s="78" t="n"/>
      <c r="J17" s="79" t="n"/>
      <c r="K17" s="81" t="n"/>
      <c r="L17" s="81" t="n"/>
      <c r="M17" s="81" t="n"/>
      <c r="N17" s="128" t="n"/>
      <c r="O17" s="128" t="n"/>
      <c r="P17" s="128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8" t="n"/>
      <c r="BQ17" s="61" t="n"/>
    </row>
    <row r="18" outlineLevel="1" ht="17.25" customHeight="1" s="106">
      <c r="A18" s="61" t="n"/>
      <c r="B18" s="90" t="inlineStr">
        <is>
          <t>2.2</t>
        </is>
      </c>
      <c r="C18" s="91" t="inlineStr">
        <is>
          <t>Normalizacion y validacion cruzada base</t>
        </is>
      </c>
      <c r="D18" s="91" t="inlineStr">
        <is>
          <t>Victor (PathPilot)</t>
        </is>
      </c>
      <c r="E18" s="92" t="n">
        <v>46111</v>
      </c>
      <c r="F18" s="92" t="n">
        <v>46114</v>
      </c>
      <c r="G18" s="93">
        <f>DAYS360(E18,F18)</f>
        <v/>
      </c>
      <c r="H18" s="94" t="n">
        <v>0</v>
      </c>
      <c r="I18" s="95" t="n"/>
      <c r="J18" s="96" t="n"/>
      <c r="K18" s="97" t="n"/>
      <c r="L18" s="97" t="n"/>
      <c r="M18" s="97" t="n"/>
      <c r="N18" s="134" t="n"/>
      <c r="O18" s="134" t="n"/>
      <c r="P18" s="134" t="n"/>
      <c r="Q18" s="134" t="n"/>
      <c r="R18" s="97" t="n"/>
      <c r="S18" s="97" t="n"/>
      <c r="T18" s="97" t="n"/>
      <c r="U18" s="97" t="n"/>
      <c r="V18" s="97" t="n"/>
      <c r="W18" s="97" t="n"/>
      <c r="X18" s="97" t="n"/>
      <c r="Y18" s="97" t="n"/>
      <c r="Z18" s="97" t="n"/>
      <c r="AA18" s="97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  <c r="AR18" s="97" t="n"/>
      <c r="AS18" s="97" t="n"/>
      <c r="AT18" s="97" t="n"/>
      <c r="AU18" s="97" t="n"/>
      <c r="AV18" s="97" t="n"/>
      <c r="AW18" s="97" t="n"/>
      <c r="AX18" s="97" t="n"/>
      <c r="AY18" s="97" t="n"/>
      <c r="AZ18" s="97" t="n"/>
      <c r="BA18" s="97" t="n"/>
      <c r="BB18" s="97" t="n"/>
      <c r="BC18" s="97" t="n"/>
      <c r="BD18" s="97" t="n"/>
      <c r="BE18" s="97" t="n"/>
      <c r="BF18" s="97" t="n"/>
      <c r="BG18" s="97" t="n"/>
      <c r="BH18" s="97" t="n"/>
      <c r="BI18" s="97" t="n"/>
      <c r="BJ18" s="97" t="n"/>
      <c r="BK18" s="97" t="n"/>
      <c r="BL18" s="97" t="n"/>
      <c r="BM18" s="97" t="n"/>
      <c r="BN18" s="97" t="n"/>
      <c r="BO18" s="97" t="n"/>
      <c r="BP18" s="103" t="n"/>
      <c r="BQ18" s="61" t="n"/>
    </row>
    <row r="19" ht="21" customHeight="1" s="106">
      <c r="A19" s="32" t="n"/>
      <c r="B19" s="54" t="inlineStr">
        <is>
          <t>2.3</t>
        </is>
      </c>
      <c r="C19" s="55" t="inlineStr">
        <is>
          <t>Integracion con Google Cloud</t>
        </is>
      </c>
      <c r="D19" s="56" t="inlineStr">
        <is>
          <t>Victor (PathPilot)</t>
        </is>
      </c>
      <c r="E19" s="135" t="n">
        <v>46112</v>
      </c>
      <c r="F19" s="135" t="n">
        <v>46115</v>
      </c>
      <c r="G19" s="56">
        <f>DAYS360(E19,F19)</f>
        <v/>
      </c>
      <c r="H19" s="56" t="n">
        <v>0</v>
      </c>
      <c r="I19" s="123" t="n"/>
      <c r="J19" s="136" t="n"/>
      <c r="K19" s="137" t="n"/>
      <c r="L19" s="137" t="n"/>
      <c r="M19" s="123" t="n"/>
      <c r="N19" s="123" t="n"/>
      <c r="O19" s="138" t="n"/>
      <c r="P19" s="138" t="n"/>
      <c r="Q19" s="138" t="n"/>
      <c r="R19" s="138" t="n"/>
      <c r="S19" s="123" t="n"/>
      <c r="T19" s="123" t="n"/>
      <c r="U19" s="123" t="n"/>
      <c r="V19" s="123" t="n"/>
      <c r="W19" s="123" t="n"/>
      <c r="X19" s="123" t="n"/>
      <c r="Y19" s="123" t="n"/>
      <c r="Z19" s="123" t="n"/>
      <c r="AA19" s="123" t="n"/>
      <c r="AB19" s="123" t="n"/>
      <c r="AC19" s="123" t="n"/>
      <c r="AD19" s="123" t="n"/>
      <c r="AE19" s="123" t="n"/>
      <c r="AF19" s="123" t="n"/>
      <c r="AG19" s="123" t="n"/>
      <c r="AH19" s="123" t="n"/>
      <c r="AI19" s="123" t="n"/>
      <c r="AJ19" s="123" t="n"/>
      <c r="AK19" s="123" t="n"/>
      <c r="AL19" s="123" t="n"/>
      <c r="AM19" s="123" t="n"/>
      <c r="AN19" s="123" t="n"/>
      <c r="AO19" s="123" t="n"/>
      <c r="AP19" s="123" t="n"/>
      <c r="AQ19" s="123" t="n"/>
      <c r="AR19" s="123" t="n"/>
      <c r="AS19" s="123" t="n"/>
      <c r="AT19" s="123" t="n"/>
      <c r="AU19" s="123" t="n"/>
      <c r="AV19" s="123" t="n"/>
      <c r="AW19" s="123" t="n"/>
      <c r="AX19" s="123" t="n"/>
      <c r="AY19" s="123" t="n"/>
      <c r="AZ19" s="123" t="n"/>
      <c r="BA19" s="123" t="n"/>
      <c r="BB19" s="123" t="n"/>
      <c r="BC19" s="123" t="n"/>
      <c r="BD19" s="123" t="n"/>
      <c r="BE19" s="123" t="n"/>
      <c r="BF19" s="123" t="n"/>
      <c r="BG19" s="123" t="n"/>
      <c r="BH19" s="123" t="n"/>
      <c r="BI19" s="123" t="n"/>
      <c r="BJ19" s="123" t="n"/>
      <c r="BK19" s="123" t="n"/>
      <c r="BL19" s="123" t="n"/>
      <c r="BM19" s="123" t="n"/>
      <c r="BN19" s="123" t="n"/>
      <c r="BO19" s="123" t="n"/>
      <c r="BP19" s="123" t="n"/>
      <c r="BQ19" s="32" t="n"/>
    </row>
    <row r="20" outlineLevel="1" ht="17.25" customHeight="1" s="106">
      <c r="A20" s="61" t="n"/>
      <c r="B20" s="62" t="inlineStr">
        <is>
          <t>2.4</t>
        </is>
      </c>
      <c r="C20" s="63" t="inlineStr">
        <is>
          <t>Dependencia: Entorno de Staging listo</t>
        </is>
      </c>
      <c r="D20" s="63" t="inlineStr">
        <is>
          <t>Victor (PathPilot)</t>
        </is>
      </c>
      <c r="E20" s="64" t="n">
        <v>46113</v>
      </c>
      <c r="F20" s="64" t="n">
        <v>46113</v>
      </c>
      <c r="G20" s="65">
        <f>DAYS360(E20,F20)</f>
        <v/>
      </c>
      <c r="H20" s="66" t="n">
        <v>0</v>
      </c>
      <c r="I20" s="67" t="n"/>
      <c r="J20" s="68" t="n"/>
      <c r="K20" s="73" t="n"/>
      <c r="L20" s="73" t="n"/>
      <c r="M20" s="73" t="n"/>
      <c r="N20" s="73" t="n"/>
      <c r="O20" s="73" t="n"/>
      <c r="P20" s="139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3" t="n"/>
      <c r="AD20" s="73" t="n"/>
      <c r="AE20" s="73" t="n"/>
      <c r="AF20" s="73" t="n"/>
      <c r="AG20" s="73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3" t="n"/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  <c r="BJ20" s="73" t="n"/>
      <c r="BK20" s="73" t="n"/>
      <c r="BL20" s="73" t="n"/>
      <c r="BM20" s="73" t="n"/>
      <c r="BN20" s="73" t="n"/>
      <c r="BO20" s="73" t="n"/>
      <c r="BP20" s="77" t="n"/>
      <c r="BQ20" s="61" t="n"/>
    </row>
    <row r="21" outlineLevel="1" ht="17.25" customHeight="1" s="106">
      <c r="A21" s="61" t="n"/>
      <c r="B21" s="129" t="inlineStr">
        <is>
          <t>3.0</t>
        </is>
      </c>
      <c r="C21" s="130" t="inlineStr">
        <is>
          <t>Semana 3: API base disponible</t>
        </is>
      </c>
      <c r="D21" s="63" t="n"/>
      <c r="E21" s="64" t="n"/>
      <c r="F21" s="64" t="n"/>
      <c r="G21" s="65" t="n"/>
      <c r="H21" s="66" t="n"/>
      <c r="I21" s="131" t="n"/>
      <c r="J21" s="132" t="n"/>
      <c r="K21" s="133" t="n"/>
      <c r="L21" s="133" t="n"/>
      <c r="M21" s="133" t="n"/>
      <c r="N21" s="133" t="n"/>
      <c r="O21" s="133" t="n"/>
      <c r="P21" s="133" t="n"/>
      <c r="Q21" s="133" t="n"/>
      <c r="R21" s="133" t="n"/>
      <c r="S21" s="133" t="n"/>
      <c r="T21" s="133" t="n"/>
      <c r="U21" s="133" t="n"/>
      <c r="V21" s="133" t="n"/>
      <c r="W21" s="133" t="n"/>
      <c r="X21" s="133" t="n"/>
      <c r="Y21" s="133" t="n"/>
      <c r="Z21" s="133" t="n"/>
      <c r="AA21" s="133" t="n"/>
      <c r="AB21" s="140" t="n"/>
      <c r="AC21" s="140" t="n"/>
      <c r="AD21" s="140" t="n"/>
      <c r="AE21" s="140" t="n"/>
      <c r="AF21" s="140" t="n"/>
      <c r="AG21" s="140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8" t="n"/>
      <c r="BQ21" s="61" t="n"/>
    </row>
    <row r="22" outlineLevel="1" ht="17.25" customHeight="1" s="106">
      <c r="A22" s="61" t="n"/>
      <c r="B22" s="62" t="inlineStr">
        <is>
          <t>3.1</t>
        </is>
      </c>
      <c r="C22" s="63" t="inlineStr">
        <is>
          <t>API con soporte para RIFs</t>
        </is>
      </c>
      <c r="D22" s="63" t="inlineStr">
        <is>
          <t>Victor (PathPilot)</t>
        </is>
      </c>
      <c r="E22" s="64" t="n">
        <v>46118</v>
      </c>
      <c r="F22" s="64" t="n">
        <v>46120</v>
      </c>
      <c r="G22" s="65">
        <f>DAYS360(E22,F22)</f>
        <v/>
      </c>
      <c r="H22" s="66" t="n">
        <v>0</v>
      </c>
      <c r="I22" s="78" t="n"/>
      <c r="J22" s="79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128" t="n"/>
      <c r="T22" s="128" t="n"/>
      <c r="U22" s="128" t="n"/>
      <c r="V22" s="81" t="n"/>
      <c r="W22" s="81" t="n"/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1" t="n"/>
      <c r="AO22" s="81" t="n"/>
      <c r="AP22" s="81" t="n"/>
      <c r="AQ22" s="81" t="n"/>
      <c r="AR22" s="81" t="n"/>
      <c r="AS22" s="81" t="n"/>
      <c r="AT22" s="81" t="n"/>
      <c r="AU22" s="81" t="n"/>
      <c r="AV22" s="81" t="n"/>
      <c r="AW22" s="81" t="n"/>
      <c r="AX22" s="81" t="n"/>
      <c r="AY22" s="81" t="n"/>
      <c r="AZ22" s="81" t="n"/>
      <c r="BA22" s="81" t="n"/>
      <c r="BB22" s="81" t="n"/>
      <c r="BC22" s="81" t="n"/>
      <c r="BD22" s="81" t="n"/>
      <c r="BE22" s="81" t="n"/>
      <c r="BF22" s="81" t="n"/>
      <c r="BG22" s="81" t="n"/>
      <c r="BH22" s="81" t="n"/>
      <c r="BI22" s="81" t="n"/>
      <c r="BJ22" s="81" t="n"/>
      <c r="BK22" s="81" t="n"/>
      <c r="BL22" s="81" t="n"/>
      <c r="BM22" s="81" t="n"/>
      <c r="BN22" s="81" t="n"/>
      <c r="BO22" s="81" t="n"/>
      <c r="BP22" s="88" t="n"/>
      <c r="BQ22" s="61" t="n"/>
    </row>
    <row r="23" outlineLevel="1" ht="17.25" customHeight="1" s="106">
      <c r="A23" s="61" t="n"/>
      <c r="B23" s="62" t="inlineStr">
        <is>
          <t>3.2</t>
        </is>
      </c>
      <c r="C23" s="63" t="inlineStr">
        <is>
          <t>API con soporte para Cedulas</t>
        </is>
      </c>
      <c r="D23" s="63" t="inlineStr">
        <is>
          <t>Victor (PathPilot)</t>
        </is>
      </c>
      <c r="E23" s="64" t="n">
        <v>46118</v>
      </c>
      <c r="F23" s="64" t="n">
        <v>46121</v>
      </c>
      <c r="G23" s="65">
        <f>DAYS360(E23,F23)</f>
        <v/>
      </c>
      <c r="H23" s="89" t="n">
        <v>0</v>
      </c>
      <c r="I23" s="78" t="n"/>
      <c r="J23" s="79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128" t="n"/>
      <c r="T23" s="128" t="n"/>
      <c r="U23" s="128" t="n"/>
      <c r="V23" s="128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8" t="n"/>
      <c r="BQ23" s="61" t="n"/>
    </row>
    <row r="24" ht="21" customHeight="1" s="106">
      <c r="A24" s="32" t="n"/>
      <c r="B24" s="54" t="inlineStr">
        <is>
          <t>3.3</t>
        </is>
      </c>
      <c r="C24" s="55" t="inlineStr">
        <is>
          <t>API con soporte para Actas constitutivas</t>
        </is>
      </c>
      <c r="D24" s="56" t="inlineStr">
        <is>
          <t>Victor (PathPilot)</t>
        </is>
      </c>
      <c r="E24" s="135" t="n">
        <v>46119</v>
      </c>
      <c r="F24" s="135" t="n">
        <v>46122</v>
      </c>
      <c r="G24" s="56">
        <f>DAYS360(E24,F24)</f>
        <v/>
      </c>
      <c r="H24" s="56" t="n">
        <v>0</v>
      </c>
      <c r="I24" s="123" t="n"/>
      <c r="J24" s="136" t="n"/>
      <c r="K24" s="137" t="n"/>
      <c r="L24" s="137" t="n"/>
      <c r="M24" s="123" t="n"/>
      <c r="N24" s="123" t="n"/>
      <c r="O24" s="123" t="n"/>
      <c r="P24" s="123" t="n"/>
      <c r="Q24" s="123" t="n"/>
      <c r="R24" s="123" t="n"/>
      <c r="S24" s="123" t="n"/>
      <c r="T24" s="138" t="n"/>
      <c r="U24" s="138" t="n"/>
      <c r="V24" s="138" t="n"/>
      <c r="W24" s="138" t="n"/>
      <c r="X24" s="123" t="n"/>
      <c r="Y24" s="123" t="n"/>
      <c r="Z24" s="123" t="n"/>
      <c r="AA24" s="123" t="n"/>
      <c r="AB24" s="123" t="n"/>
      <c r="AC24" s="123" t="n"/>
      <c r="AD24" s="123" t="n"/>
      <c r="AE24" s="123" t="n"/>
      <c r="AF24" s="123" t="n"/>
      <c r="AG24" s="123" t="n"/>
      <c r="AH24" s="123" t="n"/>
      <c r="AI24" s="123" t="n"/>
      <c r="AJ24" s="123" t="n"/>
      <c r="AK24" s="123" t="n"/>
      <c r="AL24" s="123" t="n"/>
      <c r="AM24" s="123" t="n"/>
      <c r="AN24" s="123" t="n"/>
      <c r="AO24" s="123" t="n"/>
      <c r="AP24" s="123" t="n"/>
      <c r="AQ24" s="123" t="n"/>
      <c r="AR24" s="123" t="n"/>
      <c r="AS24" s="123" t="n"/>
      <c r="AT24" s="123" t="n"/>
      <c r="AU24" s="123" t="n"/>
      <c r="AV24" s="123" t="n"/>
      <c r="AW24" s="123" t="n"/>
      <c r="AX24" s="123" t="n"/>
      <c r="AY24" s="123" t="n"/>
      <c r="AZ24" s="123" t="n"/>
      <c r="BA24" s="123" t="n"/>
      <c r="BB24" s="123" t="n"/>
      <c r="BC24" s="123" t="n"/>
      <c r="BD24" s="123" t="n"/>
      <c r="BE24" s="123" t="n"/>
      <c r="BF24" s="123" t="n"/>
      <c r="BG24" s="123" t="n"/>
      <c r="BH24" s="123" t="n"/>
      <c r="BI24" s="123" t="n"/>
      <c r="BJ24" s="123" t="n"/>
      <c r="BK24" s="123" t="n"/>
      <c r="BL24" s="123" t="n"/>
      <c r="BM24" s="123" t="n"/>
      <c r="BN24" s="123" t="n"/>
      <c r="BO24" s="123" t="n"/>
      <c r="BP24" s="123" t="n"/>
      <c r="BQ24" s="32" t="n"/>
    </row>
    <row r="25" outlineLevel="1" ht="17.25" customHeight="1" s="106">
      <c r="A25" s="61" t="n"/>
      <c r="B25" s="62" t="inlineStr">
        <is>
          <t>3.4</t>
        </is>
      </c>
      <c r="C25" s="63" t="inlineStr">
        <is>
          <t>Entregable: API disponible para RIFs, Cedulas y Actas constitutivas</t>
        </is>
      </c>
      <c r="D25" s="63" t="inlineStr">
        <is>
          <t>Victor (PathPilot)</t>
        </is>
      </c>
      <c r="E25" s="64" t="n">
        <v>46122</v>
      </c>
      <c r="F25" s="64" t="n">
        <v>46122</v>
      </c>
      <c r="G25" s="65">
        <f>DAYS360(E25,F25)</f>
        <v/>
      </c>
      <c r="H25" s="66" t="n">
        <v>0</v>
      </c>
      <c r="I25" s="67" t="n"/>
      <c r="J25" s="68" t="n"/>
      <c r="K25" s="73" t="n"/>
      <c r="L25" s="73" t="n"/>
      <c r="M25" s="73" t="n"/>
      <c r="N25" s="81" t="n"/>
      <c r="O25" s="81" t="n"/>
      <c r="P25" s="81" t="n"/>
      <c r="Q25" s="81" t="n"/>
      <c r="R25" s="81" t="n"/>
      <c r="S25" s="73" t="n"/>
      <c r="T25" s="73" t="n"/>
      <c r="U25" s="73" t="n"/>
      <c r="V25" s="73" t="n"/>
      <c r="W25" s="141" t="n"/>
      <c r="X25" s="73" t="n"/>
      <c r="Y25" s="73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  <c r="AM25" s="73" t="n"/>
      <c r="AN25" s="73" t="n"/>
      <c r="AO25" s="73" t="n"/>
      <c r="AP25" s="73" t="n"/>
      <c r="AQ25" s="73" t="n"/>
      <c r="AR25" s="73" t="n"/>
      <c r="AS25" s="73" t="n"/>
      <c r="AT25" s="73" t="n"/>
      <c r="AU25" s="73" t="n"/>
      <c r="AV25" s="73" t="n"/>
      <c r="AW25" s="73" t="n"/>
      <c r="AX25" s="73" t="n"/>
      <c r="AY25" s="73" t="n"/>
      <c r="AZ25" s="73" t="n"/>
      <c r="BA25" s="73" t="n"/>
      <c r="BB25" s="73" t="n"/>
      <c r="BC25" s="73" t="n"/>
      <c r="BD25" s="73" t="n"/>
      <c r="BE25" s="73" t="n"/>
      <c r="BF25" s="73" t="n"/>
      <c r="BG25" s="73" t="n"/>
      <c r="BH25" s="73" t="n"/>
      <c r="BI25" s="73" t="n"/>
      <c r="BJ25" s="73" t="n"/>
      <c r="BK25" s="73" t="n"/>
      <c r="BL25" s="73" t="n"/>
      <c r="BM25" s="73" t="n"/>
      <c r="BN25" s="73" t="n"/>
      <c r="BO25" s="73" t="n"/>
      <c r="BP25" s="77" t="n"/>
      <c r="BQ25" s="61" t="n"/>
    </row>
    <row r="26" outlineLevel="1" ht="17.25" customHeight="1" s="106">
      <c r="A26" s="61" t="n"/>
      <c r="B26" s="129" t="inlineStr">
        <is>
          <t>4.0</t>
        </is>
      </c>
      <c r="C26" s="130" t="inlineStr">
        <is>
          <t>Semana 4: Cobertura extendida y PROD</t>
        </is>
      </c>
      <c r="D26" s="63" t="n"/>
      <c r="E26" s="64" t="n"/>
      <c r="F26" s="64" t="n"/>
      <c r="G26" s="65" t="n"/>
      <c r="H26" s="66" t="n"/>
      <c r="I26" s="131" t="n"/>
      <c r="J26" s="132" t="n"/>
      <c r="K26" s="133" t="n"/>
      <c r="L26" s="133" t="n"/>
      <c r="M26" s="133" t="n"/>
      <c r="N26" s="133" t="n"/>
      <c r="O26" s="133" t="n"/>
      <c r="P26" s="133" t="n"/>
      <c r="Q26" s="133" t="n"/>
      <c r="R26" s="133" t="n"/>
      <c r="S26" s="133" t="n"/>
      <c r="T26" s="133" t="n"/>
      <c r="U26" s="133" t="n"/>
      <c r="V26" s="133" t="n"/>
      <c r="W26" s="133" t="n"/>
      <c r="X26" s="133" t="n"/>
      <c r="Y26" s="133" t="n"/>
      <c r="Z26" s="133" t="n"/>
      <c r="AA26" s="133" t="n"/>
      <c r="AB26" s="133" t="n"/>
      <c r="AC26" s="133" t="n"/>
      <c r="AD26" s="133" t="n"/>
      <c r="AE26" s="133" t="n"/>
      <c r="AF26" s="133" t="n"/>
      <c r="AG26" s="133" t="n"/>
      <c r="AH26" s="81" t="n"/>
      <c r="AI26" s="81" t="n"/>
      <c r="AJ26" s="81" t="n"/>
      <c r="AK26" s="81" t="n"/>
      <c r="AL26" s="81" t="n"/>
      <c r="AM26" s="81" t="n"/>
      <c r="AN26" s="81" t="n"/>
      <c r="AO26" s="81" t="n"/>
      <c r="AP26" s="81" t="n"/>
      <c r="AQ26" s="81" t="n"/>
      <c r="AR26" s="81" t="n"/>
      <c r="AS26" s="81" t="n"/>
      <c r="AT26" s="81" t="n"/>
      <c r="AU26" s="81" t="n"/>
      <c r="AV26" s="81" t="n"/>
      <c r="AW26" s="81" t="n"/>
      <c r="AX26" s="81" t="n"/>
      <c r="AY26" s="81" t="n"/>
      <c r="AZ26" s="81" t="n"/>
      <c r="BA26" s="81" t="n"/>
      <c r="BB26" s="81" t="n"/>
      <c r="BC26" s="81" t="n"/>
      <c r="BD26" s="81" t="n"/>
      <c r="BE26" s="81" t="n"/>
      <c r="BF26" s="81" t="n"/>
      <c r="BG26" s="81" t="n"/>
      <c r="BH26" s="81" t="n"/>
      <c r="BI26" s="81" t="n"/>
      <c r="BJ26" s="81" t="n"/>
      <c r="BK26" s="81" t="n"/>
      <c r="BL26" s="81" t="n"/>
      <c r="BM26" s="81" t="n"/>
      <c r="BN26" s="81" t="n"/>
      <c r="BO26" s="81" t="n"/>
      <c r="BP26" s="88" t="n"/>
      <c r="BQ26" s="61" t="n"/>
    </row>
    <row r="27" outlineLevel="1" ht="17.25" customHeight="1" s="106">
      <c r="A27" s="61" t="n"/>
      <c r="B27" s="62" t="inlineStr">
        <is>
          <t>4.1</t>
        </is>
      </c>
      <c r="C27" s="63" t="inlineStr">
        <is>
          <t>API con soporte para Actas de Asamblea</t>
        </is>
      </c>
      <c r="D27" s="63" t="inlineStr">
        <is>
          <t>Victor (PathPilot)</t>
        </is>
      </c>
      <c r="E27" s="64" t="n">
        <v>46125</v>
      </c>
      <c r="F27" s="64" t="n">
        <v>46127</v>
      </c>
      <c r="G27" s="65">
        <f>DAYS360(E27,F27)</f>
        <v/>
      </c>
      <c r="H27" s="66" t="n">
        <v>0</v>
      </c>
      <c r="I27" s="78" t="n"/>
      <c r="J27" s="79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73" t="n"/>
      <c r="T27" s="73" t="n"/>
      <c r="U27" s="73" t="n"/>
      <c r="V27" s="73" t="n"/>
      <c r="W27" s="81" t="n"/>
      <c r="X27" s="128" t="n"/>
      <c r="Y27" s="128" t="n"/>
      <c r="Z27" s="128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8" t="n"/>
      <c r="BQ27" s="61" t="n"/>
    </row>
    <row r="28" outlineLevel="1" ht="17.25" customHeight="1" s="106">
      <c r="A28" s="61" t="n"/>
      <c r="B28" s="62" t="inlineStr">
        <is>
          <t>4.2</t>
        </is>
      </c>
      <c r="C28" s="63" t="inlineStr">
        <is>
          <t>API con soporte para Firmas personales</t>
        </is>
      </c>
      <c r="D28" s="63" t="inlineStr">
        <is>
          <t>Victor (PathPilot)</t>
        </is>
      </c>
      <c r="E28" s="64" t="n">
        <v>46125</v>
      </c>
      <c r="F28" s="64" t="n">
        <v>46128</v>
      </c>
      <c r="G28" s="65">
        <f>DAYS360(E28,F28)</f>
        <v/>
      </c>
      <c r="H28" s="89" t="n">
        <v>0</v>
      </c>
      <c r="I28" s="78" t="n"/>
      <c r="J28" s="79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73" t="n"/>
      <c r="T28" s="73" t="n"/>
      <c r="U28" s="73" t="n"/>
      <c r="V28" s="73" t="n"/>
      <c r="W28" s="81" t="n"/>
      <c r="X28" s="128" t="n"/>
      <c r="Y28" s="128" t="n"/>
      <c r="Z28" s="128" t="n"/>
      <c r="AA28" s="128" t="n"/>
      <c r="AB28" s="81" t="n"/>
      <c r="AC28" s="81" t="n"/>
      <c r="AD28" s="81" t="n"/>
      <c r="AE28" s="81" t="n"/>
      <c r="AF28" s="81" t="n"/>
      <c r="AG28" s="81" t="n"/>
      <c r="AH28" s="81" t="n"/>
      <c r="AI28" s="81" t="n"/>
      <c r="AJ28" s="81" t="n"/>
      <c r="AK28" s="81" t="n"/>
      <c r="AL28" s="81" t="n"/>
      <c r="AM28" s="81" t="n"/>
      <c r="AN28" s="81" t="n"/>
      <c r="AO28" s="81" t="n"/>
      <c r="AP28" s="81" t="n"/>
      <c r="AQ28" s="81" t="n"/>
      <c r="AR28" s="81" t="n"/>
      <c r="AS28" s="81" t="n"/>
      <c r="AT28" s="81" t="n"/>
      <c r="AU28" s="81" t="n"/>
      <c r="AV28" s="81" t="n"/>
      <c r="AW28" s="81" t="n"/>
      <c r="AX28" s="81" t="n"/>
      <c r="AY28" s="81" t="n"/>
      <c r="AZ28" s="81" t="n"/>
      <c r="BA28" s="81" t="n"/>
      <c r="BB28" s="81" t="n"/>
      <c r="BC28" s="81" t="n"/>
      <c r="BD28" s="81" t="n"/>
      <c r="BE28" s="81" t="n"/>
      <c r="BF28" s="81" t="n"/>
      <c r="BG28" s="81" t="n"/>
      <c r="BH28" s="81" t="n"/>
      <c r="BI28" s="81" t="n"/>
      <c r="BJ28" s="81" t="n"/>
      <c r="BK28" s="81" t="n"/>
      <c r="BL28" s="81" t="n"/>
      <c r="BM28" s="81" t="n"/>
      <c r="BN28" s="81" t="n"/>
      <c r="BO28" s="81" t="n"/>
      <c r="BP28" s="88" t="n"/>
      <c r="BQ28" s="61" t="n"/>
    </row>
    <row r="29" outlineLevel="1" ht="17.25" customHeight="1" s="106">
      <c r="A29" s="61" t="n"/>
      <c r="B29" s="62" t="inlineStr">
        <is>
          <t>4.3</t>
        </is>
      </c>
      <c r="C29" s="63" t="inlineStr">
        <is>
          <t>API con soporte para Emprendimientos</t>
        </is>
      </c>
      <c r="D29" s="63" t="inlineStr">
        <is>
          <t>Victor (PathPilot)</t>
        </is>
      </c>
      <c r="E29" s="64" t="n">
        <v>46126</v>
      </c>
      <c r="F29" s="64" t="n">
        <v>46129</v>
      </c>
      <c r="G29" s="65">
        <f>DAYS360(E29,F29)</f>
        <v/>
      </c>
      <c r="H29" s="66" t="n">
        <v>0</v>
      </c>
      <c r="I29" s="78" t="n"/>
      <c r="J29" s="79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73" t="n"/>
      <c r="T29" s="73" t="n"/>
      <c r="U29" s="73" t="n"/>
      <c r="V29" s="73" t="n"/>
      <c r="W29" s="81" t="n"/>
      <c r="X29" s="81" t="n"/>
      <c r="Y29" s="128" t="n"/>
      <c r="Z29" s="128" t="n"/>
      <c r="AA29" s="128" t="n"/>
      <c r="AB29" s="128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8" t="n"/>
      <c r="BQ29" s="61" t="n"/>
    </row>
    <row r="30" outlineLevel="1" ht="17.25" customHeight="1" s="106">
      <c r="A30" s="61" t="n"/>
      <c r="B30" s="62" t="inlineStr">
        <is>
          <t>4.4</t>
        </is>
      </c>
      <c r="C30" s="63" t="inlineStr">
        <is>
          <t>Dependencia: Entorno de Produccion listo</t>
        </is>
      </c>
      <c r="D30" s="63" t="inlineStr">
        <is>
          <t>Victor (PathPilot)</t>
        </is>
      </c>
      <c r="E30" s="64" t="n">
        <v>46127</v>
      </c>
      <c r="F30" s="64" t="n">
        <v>46127</v>
      </c>
      <c r="G30" s="65">
        <f>DAYS360(E30,F30)</f>
        <v/>
      </c>
      <c r="H30" s="66" t="n">
        <v>0</v>
      </c>
      <c r="I30" s="78" t="n"/>
      <c r="J30" s="79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73" t="n"/>
      <c r="T30" s="73" t="n"/>
      <c r="U30" s="73" t="n"/>
      <c r="V30" s="73" t="n"/>
      <c r="W30" s="81" t="n"/>
      <c r="X30" s="81" t="n"/>
      <c r="Y30" s="81" t="n"/>
      <c r="Z30" s="142" t="n"/>
      <c r="AA30" s="81" t="n"/>
      <c r="AB30" s="81" t="n"/>
      <c r="AC30" s="81" t="n"/>
      <c r="AD30" s="81" t="n"/>
      <c r="AE30" s="81" t="n"/>
      <c r="AF30" s="81" t="n"/>
      <c r="AG30" s="81" t="n"/>
      <c r="AH30" s="81" t="n"/>
      <c r="AI30" s="81" t="n"/>
      <c r="AJ30" s="81" t="n"/>
      <c r="AK30" s="81" t="n"/>
      <c r="AL30" s="81" t="n"/>
      <c r="AM30" s="81" t="n"/>
      <c r="AN30" s="81" t="n"/>
      <c r="AO30" s="81" t="n"/>
      <c r="AP30" s="81" t="n"/>
      <c r="AQ30" s="81" t="n"/>
      <c r="AR30" s="81" t="n"/>
      <c r="AS30" s="81" t="n"/>
      <c r="AT30" s="81" t="n"/>
      <c r="AU30" s="81" t="n"/>
      <c r="AV30" s="81" t="n"/>
      <c r="AW30" s="81" t="n"/>
      <c r="AX30" s="81" t="n"/>
      <c r="AY30" s="81" t="n"/>
      <c r="AZ30" s="81" t="n"/>
      <c r="BA30" s="81" t="n"/>
      <c r="BB30" s="81" t="n"/>
      <c r="BC30" s="81" t="n"/>
      <c r="BD30" s="81" t="n"/>
      <c r="BE30" s="81" t="n"/>
      <c r="BF30" s="81" t="n"/>
      <c r="BG30" s="81" t="n"/>
      <c r="BH30" s="81" t="n"/>
      <c r="BI30" s="81" t="n"/>
      <c r="BJ30" s="81" t="n"/>
      <c r="BK30" s="81" t="n"/>
      <c r="BL30" s="81" t="n"/>
      <c r="BM30" s="81" t="n"/>
      <c r="BN30" s="81" t="n"/>
      <c r="BO30" s="81" t="n"/>
      <c r="BP30" s="88" t="n"/>
      <c r="BQ30" s="61" t="n"/>
    </row>
    <row r="31" ht="21" customHeight="1" s="106">
      <c r="A31" s="32" t="n"/>
      <c r="B31" s="118" t="inlineStr">
        <is>
          <t>5.0</t>
        </is>
      </c>
      <c r="C31" s="119" t="inlineStr">
        <is>
          <t>Semana 5: Estabilizacion y correccion de bugs</t>
        </is>
      </c>
      <c r="D31" s="56" t="n"/>
      <c r="E31" s="56" t="n"/>
      <c r="F31" s="56" t="n"/>
      <c r="G31" s="56" t="n"/>
      <c r="H31" s="56" t="n"/>
      <c r="I31" s="120" t="n"/>
      <c r="J31" s="121" t="n"/>
      <c r="K31" s="122" t="n"/>
      <c r="L31" s="122" t="n"/>
      <c r="M31" s="120" t="n"/>
      <c r="N31" s="120" t="n"/>
      <c r="O31" s="120" t="n"/>
      <c r="P31" s="120" t="n"/>
      <c r="Q31" s="120" t="n"/>
      <c r="R31" s="120" t="n"/>
      <c r="S31" s="120" t="n"/>
      <c r="T31" s="120" t="n"/>
      <c r="U31" s="120" t="n"/>
      <c r="V31" s="120" t="n"/>
      <c r="W31" s="120" t="n"/>
      <c r="X31" s="120" t="n"/>
      <c r="Y31" s="120" t="n"/>
      <c r="Z31" s="120" t="n"/>
      <c r="AA31" s="120" t="n"/>
      <c r="AB31" s="120" t="n"/>
      <c r="AC31" s="120" t="n"/>
      <c r="AD31" s="120" t="n"/>
      <c r="AE31" s="120" t="n"/>
      <c r="AF31" s="120" t="n"/>
      <c r="AG31" s="120" t="n"/>
      <c r="AH31" s="123" t="n"/>
      <c r="AI31" s="123" t="n"/>
      <c r="AJ31" s="123" t="n"/>
      <c r="AK31" s="123" t="n"/>
      <c r="AL31" s="123" t="n"/>
      <c r="AM31" s="123" t="n"/>
      <c r="AN31" s="123" t="n"/>
      <c r="AO31" s="123" t="n"/>
      <c r="AP31" s="123" t="n"/>
      <c r="AQ31" s="123" t="n"/>
      <c r="AR31" s="123" t="n"/>
      <c r="AS31" s="123" t="n"/>
      <c r="AT31" s="123" t="n"/>
      <c r="AU31" s="123" t="n"/>
      <c r="AV31" s="123" t="n"/>
      <c r="AW31" s="123" t="n"/>
      <c r="AX31" s="123" t="n"/>
      <c r="AY31" s="123" t="n"/>
      <c r="AZ31" s="123" t="n"/>
      <c r="BA31" s="123" t="n"/>
      <c r="BB31" s="123" t="n"/>
      <c r="BC31" s="123" t="n"/>
      <c r="BD31" s="123" t="n"/>
      <c r="BE31" s="123" t="n"/>
      <c r="BF31" s="123" t="n"/>
      <c r="BG31" s="123" t="n"/>
      <c r="BH31" s="123" t="n"/>
      <c r="BI31" s="123" t="n"/>
      <c r="BJ31" s="123" t="n"/>
      <c r="BK31" s="123" t="n"/>
      <c r="BL31" s="123" t="n"/>
      <c r="BM31" s="123" t="n"/>
      <c r="BN31" s="123" t="n"/>
      <c r="BO31" s="123" t="n"/>
      <c r="BP31" s="123" t="n"/>
      <c r="BQ31" s="32" t="n"/>
    </row>
    <row r="32" outlineLevel="1" ht="17.25" customHeight="1" s="106">
      <c r="A32" s="61" t="n"/>
      <c r="B32" s="62" t="inlineStr">
        <is>
          <t>5.1</t>
        </is>
      </c>
      <c r="C32" s="63" t="inlineStr">
        <is>
          <t>Correccion de bugs criticos</t>
        </is>
      </c>
      <c r="D32" s="63" t="inlineStr">
        <is>
          <t>Victor (PathPilot)</t>
        </is>
      </c>
      <c r="E32" s="64" t="n">
        <v>46132</v>
      </c>
      <c r="F32" s="64" t="n">
        <v>46134</v>
      </c>
      <c r="G32" s="65">
        <f>DAYS360(E32,F32)</f>
        <v/>
      </c>
      <c r="H32" s="66" t="n">
        <v>0</v>
      </c>
      <c r="I32" s="67" t="n"/>
      <c r="J32" s="68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143" t="n"/>
      <c r="AD32" s="143" t="n"/>
      <c r="AE32" s="143" t="n"/>
      <c r="AF32" s="73" t="n"/>
      <c r="AG32" s="73" t="n"/>
      <c r="AH32" s="73" t="n"/>
      <c r="AI32" s="73" t="n"/>
      <c r="AJ32" s="73" t="n"/>
      <c r="AK32" s="73" t="n"/>
      <c r="AL32" s="73" t="n"/>
      <c r="AM32" s="73" t="n"/>
      <c r="AN32" s="73" t="n"/>
      <c r="AO32" s="73" t="n"/>
      <c r="AP32" s="73" t="n"/>
      <c r="AQ32" s="73" t="n"/>
      <c r="AR32" s="73" t="n"/>
      <c r="AS32" s="73" t="n"/>
      <c r="AT32" s="73" t="n"/>
      <c r="AU32" s="73" t="n"/>
      <c r="AV32" s="73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/>
      <c r="BF32" s="73" t="n"/>
      <c r="BG32" s="73" t="n"/>
      <c r="BH32" s="73" t="n"/>
      <c r="BI32" s="73" t="n"/>
      <c r="BJ32" s="73" t="n"/>
      <c r="BK32" s="73" t="n"/>
      <c r="BL32" s="73" t="n"/>
      <c r="BM32" s="73" t="n"/>
      <c r="BN32" s="73" t="n"/>
      <c r="BO32" s="73" t="n"/>
      <c r="BP32" s="77" t="n"/>
      <c r="BQ32" s="61" t="n"/>
    </row>
    <row r="33" outlineLevel="1" ht="17.25" customHeight="1" s="106">
      <c r="A33" s="61" t="n"/>
      <c r="B33" s="62" t="inlineStr">
        <is>
          <t>5.2</t>
        </is>
      </c>
      <c r="C33" s="63" t="inlineStr">
        <is>
          <t>Hardening y regresion funcional</t>
        </is>
      </c>
      <c r="D33" s="63" t="inlineStr">
        <is>
          <t>Victor (PathPilot)</t>
        </is>
      </c>
      <c r="E33" s="64" t="n">
        <v>46132</v>
      </c>
      <c r="F33" s="64" t="n">
        <v>46135</v>
      </c>
      <c r="G33" s="65">
        <f>DAYS360(E33,F33)</f>
        <v/>
      </c>
      <c r="H33" s="66" t="n">
        <v>0</v>
      </c>
      <c r="I33" s="78" t="n"/>
      <c r="J33" s="79" t="n"/>
      <c r="K33" s="81" t="n"/>
      <c r="L33" s="81" t="n"/>
      <c r="M33" s="81" t="n"/>
      <c r="N33" s="73" t="n"/>
      <c r="O33" s="73" t="n"/>
      <c r="P33" s="73" t="n"/>
      <c r="Q33" s="73" t="n"/>
      <c r="R33" s="73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128" t="n"/>
      <c r="AD33" s="128" t="n"/>
      <c r="AE33" s="128" t="n"/>
      <c r="AF33" s="128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8" t="n"/>
      <c r="BQ33" s="61" t="n"/>
    </row>
    <row r="34" outlineLevel="1" ht="17.25" customHeight="1" s="106">
      <c r="A34" s="61" t="n"/>
      <c r="B34" s="62" t="inlineStr">
        <is>
          <t>5.3</t>
        </is>
      </c>
      <c r="C34" s="63" t="inlineStr">
        <is>
          <t>Ajustes de despliegue y observabilidad</t>
        </is>
      </c>
      <c r="D34" s="63" t="inlineStr">
        <is>
          <t>Victor (PathPilot)</t>
        </is>
      </c>
      <c r="E34" s="64" t="n">
        <v>46133</v>
      </c>
      <c r="F34" s="64" t="n">
        <v>46136</v>
      </c>
      <c r="G34" s="65">
        <f>DAYS360(E34,F34)</f>
        <v/>
      </c>
      <c r="H34" s="66" t="n">
        <v>0</v>
      </c>
      <c r="I34" s="78" t="n"/>
      <c r="J34" s="79" t="n"/>
      <c r="K34" s="81" t="n"/>
      <c r="L34" s="81" t="n"/>
      <c r="M34" s="81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81" t="n"/>
      <c r="X34" s="81" t="n"/>
      <c r="Y34" s="81" t="n"/>
      <c r="Z34" s="81" t="n"/>
      <c r="AA34" s="81" t="n"/>
      <c r="AB34" s="81" t="n"/>
      <c r="AC34" s="81" t="n"/>
      <c r="AD34" s="128" t="n"/>
      <c r="AE34" s="128" t="n"/>
      <c r="AF34" s="128" t="n"/>
      <c r="AG34" s="128" t="n"/>
      <c r="AH34" s="81" t="n"/>
      <c r="AI34" s="81" t="n"/>
      <c r="AJ34" s="81" t="n"/>
      <c r="AK34" s="81" t="n"/>
      <c r="AL34" s="81" t="n"/>
      <c r="AM34" s="81" t="n"/>
      <c r="AN34" s="81" t="n"/>
      <c r="AO34" s="81" t="n"/>
      <c r="AP34" s="81" t="n"/>
      <c r="AQ34" s="81" t="n"/>
      <c r="AR34" s="81" t="n"/>
      <c r="AS34" s="81" t="n"/>
      <c r="AT34" s="81" t="n"/>
      <c r="AU34" s="81" t="n"/>
      <c r="AV34" s="81" t="n"/>
      <c r="AW34" s="81" t="n"/>
      <c r="AX34" s="81" t="n"/>
      <c r="AY34" s="81" t="n"/>
      <c r="AZ34" s="81" t="n"/>
      <c r="BA34" s="81" t="n"/>
      <c r="BB34" s="81" t="n"/>
      <c r="BC34" s="81" t="n"/>
      <c r="BD34" s="81" t="n"/>
      <c r="BE34" s="81" t="n"/>
      <c r="BF34" s="81" t="n"/>
      <c r="BG34" s="81" t="n"/>
      <c r="BH34" s="81" t="n"/>
      <c r="BI34" s="81" t="n"/>
      <c r="BJ34" s="81" t="n"/>
      <c r="BK34" s="81" t="n"/>
      <c r="BL34" s="81" t="n"/>
      <c r="BM34" s="81" t="n"/>
      <c r="BN34" s="81" t="n"/>
      <c r="BO34" s="81" t="n"/>
      <c r="BP34" s="88" t="n"/>
      <c r="BQ34" s="61" t="n"/>
    </row>
    <row r="35" outlineLevel="1" ht="17.25" customHeight="1" s="106">
      <c r="A35" s="61" t="n"/>
      <c r="B35" s="62" t="inlineStr">
        <is>
          <t>5.4</t>
        </is>
      </c>
      <c r="C35" s="63" t="inlineStr">
        <is>
          <t>Cierre de estabilizacion</t>
        </is>
      </c>
      <c r="D35" s="63" t="inlineStr">
        <is>
          <t>Victor (PathPilot)</t>
        </is>
      </c>
      <c r="E35" s="64" t="n">
        <v>46136</v>
      </c>
      <c r="F35" s="64" t="n">
        <v>46136</v>
      </c>
      <c r="G35" s="65">
        <f>DAYS360(E35,F35)</f>
        <v/>
      </c>
      <c r="H35" s="89" t="n">
        <v>0</v>
      </c>
      <c r="I35" s="78" t="n"/>
      <c r="J35" s="79" t="n"/>
      <c r="K35" s="81" t="n"/>
      <c r="L35" s="81" t="n"/>
      <c r="M35" s="81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144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8" t="n"/>
      <c r="BQ35" s="61" t="n"/>
    </row>
    <row r="36" ht="21" customHeight="1" s="106">
      <c r="A36" s="32" t="n"/>
      <c r="B36" s="32" t="n"/>
      <c r="C36" s="32" t="n"/>
      <c r="D36" s="32" t="n"/>
      <c r="E36" s="32" t="n"/>
      <c r="F36" s="32" t="n"/>
      <c r="G36" s="105" t="n"/>
      <c r="H36" s="105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  <c r="AV36" s="32" t="n"/>
      <c r="AW36" s="32" t="n"/>
      <c r="AX36" s="32" t="n"/>
      <c r="AY36" s="32" t="n"/>
      <c r="AZ36" s="32" t="n"/>
      <c r="BA36" s="32" t="n"/>
      <c r="BB36" s="32" t="n"/>
      <c r="BC36" s="32" t="n"/>
      <c r="BD36" s="32" t="n"/>
      <c r="BE36" s="32" t="n"/>
      <c r="BF36" s="32" t="n"/>
      <c r="BG36" s="32" t="n"/>
      <c r="BH36" s="32" t="n"/>
      <c r="BI36" s="32" t="n"/>
      <c r="BJ36" s="32" t="n"/>
      <c r="BK36" s="32" t="n"/>
      <c r="BL36" s="32" t="n"/>
      <c r="BM36" s="32" t="n"/>
      <c r="BN36" s="32" t="n"/>
      <c r="BO36" s="32" t="n"/>
      <c r="BP36" s="32" t="n"/>
      <c r="BQ36" s="32" t="n"/>
    </row>
    <row r="37" ht="21" customHeight="1" s="106">
      <c r="A37" s="32" t="n"/>
      <c r="B37" s="32" t="n"/>
      <c r="C37" s="32" t="n"/>
      <c r="D37" s="32" t="n"/>
      <c r="E37" s="32" t="n"/>
      <c r="F37" s="32" t="n"/>
      <c r="G37" s="105" t="n"/>
      <c r="H37" s="105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2" t="n"/>
      <c r="BE37" s="32" t="n"/>
      <c r="BF37" s="32" t="n"/>
      <c r="BG37" s="32" t="n"/>
      <c r="BH37" s="32" t="n"/>
      <c r="BI37" s="32" t="n"/>
      <c r="BJ37" s="32" t="n"/>
      <c r="BK37" s="32" t="n"/>
      <c r="BL37" s="32" t="n"/>
      <c r="BM37" s="32" t="n"/>
      <c r="BN37" s="32" t="n"/>
      <c r="BO37" s="32" t="n"/>
      <c r="BP37" s="32" t="n"/>
      <c r="BQ37" s="32" t="n"/>
    </row>
    <row r="38" ht="21" customHeight="1" s="106">
      <c r="A38" s="32" t="n"/>
      <c r="B38" s="32" t="n"/>
      <c r="C38" s="32" t="n"/>
      <c r="D38" s="32" t="n"/>
      <c r="E38" s="32" t="n"/>
      <c r="F38" s="32" t="n"/>
      <c r="G38" s="105" t="n"/>
      <c r="H38" s="105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2" t="n"/>
      <c r="AG38" s="32" t="n"/>
      <c r="AH38" s="32" t="n"/>
      <c r="AI38" s="32" t="n"/>
      <c r="AJ38" s="32" t="n"/>
      <c r="AK38" s="32" t="n"/>
      <c r="AL38" s="32" t="n"/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  <c r="AV38" s="32" t="n"/>
      <c r="AW38" s="32" t="n"/>
      <c r="AX38" s="32" t="n"/>
      <c r="AY38" s="32" t="n"/>
      <c r="AZ38" s="32" t="n"/>
      <c r="BA38" s="32" t="n"/>
      <c r="BB38" s="32" t="n"/>
      <c r="BC38" s="32" t="n"/>
      <c r="BD38" s="32" t="n"/>
      <c r="BE38" s="32" t="n"/>
      <c r="BF38" s="32" t="n"/>
      <c r="BG38" s="32" t="n"/>
      <c r="BH38" s="32" t="n"/>
      <c r="BI38" s="32" t="n"/>
      <c r="BJ38" s="32" t="n"/>
      <c r="BK38" s="32" t="n"/>
      <c r="BL38" s="32" t="n"/>
      <c r="BM38" s="32" t="n"/>
      <c r="BN38" s="32" t="n"/>
      <c r="BO38" s="32" t="n"/>
      <c r="BP38" s="32" t="n"/>
      <c r="BQ38" s="32" t="n"/>
    </row>
  </sheetData>
  <mergeCells count="34">
    <mergeCell ref="I9:M9"/>
    <mergeCell ref="B2:G2"/>
    <mergeCell ref="I5:O5"/>
    <mergeCell ref="BB8:BP8"/>
    <mergeCell ref="I4:O4"/>
    <mergeCell ref="D8:D10"/>
    <mergeCell ref="D5:G5"/>
    <mergeCell ref="AR9:AV9"/>
    <mergeCell ref="BL9:BP9"/>
    <mergeCell ref="AM9:AQ9"/>
    <mergeCell ref="P4:AB4"/>
    <mergeCell ref="I8:W8"/>
    <mergeCell ref="G8:G10"/>
    <mergeCell ref="H8:H10"/>
    <mergeCell ref="AW9:BA9"/>
    <mergeCell ref="AH9:AL9"/>
    <mergeCell ref="BG9:BK9"/>
    <mergeCell ref="E8:E10"/>
    <mergeCell ref="P5:AA5"/>
    <mergeCell ref="B8:B10"/>
    <mergeCell ref="AC9:AG9"/>
    <mergeCell ref="S9:W9"/>
    <mergeCell ref="AM8:BA8"/>
    <mergeCell ref="BB9:BF9"/>
    <mergeCell ref="N9:R9"/>
    <mergeCell ref="I2:N2"/>
    <mergeCell ref="B5:C5"/>
    <mergeCell ref="O2:AE2"/>
    <mergeCell ref="X9:AB9"/>
    <mergeCell ref="C8:C10"/>
    <mergeCell ref="X8:AL8"/>
    <mergeCell ref="B4:C4"/>
    <mergeCell ref="F8:F10"/>
    <mergeCell ref="D4:G4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2026-03-27T19:29:41Z</dcterms:created>
  <dcterms:modified xmlns:dcterms="http://purl.org/dc/terms/" xmlns:xsi="http://www.w3.org/2001/XMLSchema-instance" xsi:type="dcterms:W3CDTF">2026-03-27T19:29:41Z</dcterms:modified>
</cp:coreProperties>
</file>